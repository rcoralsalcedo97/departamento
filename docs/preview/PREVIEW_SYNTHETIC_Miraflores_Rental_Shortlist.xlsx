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_SHORTLIST" sheetId="1" state="visible" r:id="rId1"/>
    <sheet name="ALL_MATCHES" sheetId="2" state="visible" r:id="rId2"/>
    <sheet name="STRETCH_NEGOTIABLE" sheetId="3" state="visible" r:id="rId3"/>
    <sheet name="NEAR_MISSES" sheetId="4" state="visible" r:id="rId4"/>
    <sheet name="SOURCE_AUDIT" sheetId="5" state="visible" r:id="rId5"/>
    <sheet name="METHODOLOGY" sheetId="6" state="visible" r:id="rId6"/>
    <sheet name="CONTACT_GUIDE" sheetId="7" state="visible" r:id="rId7"/>
  </sheets>
  <definedNames>
    <definedName name="_xlnm._FilterDatabase" localSheetId="0" hidden="1">'EXECUTIVE_SHORTLIST'!$A$4:$Y$30</definedName>
    <definedName name="_xlnm._FilterDatabase" localSheetId="1" hidden="1">'ALL_MATCHES'!$A$4:$BC$30</definedName>
    <definedName name="_xlnm._FilterDatabase" localSheetId="2" hidden="1">'STRETCH_NEGOTIABLE'!$A$4:$BC$13</definedName>
    <definedName name="_xlnm._FilterDatabase" localSheetId="3" hidden="1">'NEAR_MISSES'!$A$4:$BC$5</definedName>
    <definedName name="_xlnm._FilterDatabase" localSheetId="4" hidden="1">'SOURCE_AUDIT'!$A$4:$N$16</definedName>
    <definedName name="_xlnm._FilterDatabase" localSheetId="6" hidden="1">'CONTACT_GUIDE'!$A$11:$F$21</definedName>
  </definedNames>
  <calcPr calcId="124519" fullCalcOnLoad="1"/>
</workbook>
</file>

<file path=xl/styles.xml><?xml version="1.0" encoding="utf-8"?>
<styleSheet xmlns="http://schemas.openxmlformats.org/spreadsheetml/2006/main">
  <numFmts count="4">
    <numFmt numFmtId="164" formatCode="0.0"/>
    <numFmt numFmtId="165" formatCode="&quot;USD&quot; #,##0"/>
    <numFmt numFmtId="166" formatCode="&quot;S/&quot; #,##0"/>
    <numFmt numFmtId="167" formatCode="0.#"/>
  </numFmts>
  <fonts count="9">
    <font>
      <name val="Calibri"/>
      <family val="2"/>
      <color theme="1"/>
      <sz val="11"/>
      <scheme val="minor"/>
    </font>
    <font>
      <name val="Calibri"/>
      <b val="1"/>
      <color rgb="001F3A4D"/>
      <sz val="14"/>
    </font>
    <font>
      <name val="Calibri"/>
      <i val="1"/>
      <color rgb="0052514E"/>
      <sz val="9"/>
    </font>
    <font>
      <name val="Calibri"/>
      <b val="1"/>
      <color rgb="00B42318"/>
      <sz val="11"/>
    </font>
    <font>
      <name val="Calibri"/>
      <b val="1"/>
      <color rgb="00FFFFFF"/>
      <sz val="10"/>
    </font>
    <font>
      <name val="Calibri"/>
      <color rgb="001B1B1B"/>
      <sz val="10"/>
    </font>
    <font>
      <name val="Calibri"/>
      <color rgb="001F5FBF"/>
      <sz val="10"/>
      <u val="single"/>
    </font>
    <font>
      <name val="Calibri"/>
      <b val="1"/>
      <color rgb="001F3A4D"/>
      <sz val="10"/>
    </font>
    <font>
      <b val="1"/>
      <color rgb="001F3A4D"/>
    </font>
  </fonts>
  <fills count="3">
    <fill>
      <patternFill/>
    </fill>
    <fill>
      <patternFill patternType="gray125"/>
    </fill>
    <fill>
      <patternFill patternType="solid">
        <fgColor rgb="001F3A4D"/>
      </patternFill>
    </fill>
  </fills>
  <borders count="2">
    <border>
      <left/>
      <right/>
      <top/>
      <bottom/>
      <diagonal/>
    </border>
    <border>
      <bottom style="thin">
        <color rgb="00D9DCE1"/>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1" applyAlignment="1" pivotButton="0" quotePrefix="0" xfId="0">
      <alignment vertical="top"/>
    </xf>
    <xf numFmtId="1" fontId="5" fillId="0" borderId="1" applyAlignment="1" pivotButton="0" quotePrefix="0" xfId="0">
      <alignment vertical="top"/>
    </xf>
    <xf numFmtId="164" fontId="5" fillId="0" borderId="1" applyAlignment="1" pivotButton="0" quotePrefix="0" xfId="0">
      <alignment vertical="top"/>
    </xf>
    <xf numFmtId="0" fontId="5" fillId="0" borderId="1" applyAlignment="1" pivotButton="0" quotePrefix="0" xfId="0">
      <alignment vertical="top" wrapText="1"/>
    </xf>
    <xf numFmtId="165" fontId="5" fillId="0" borderId="1" applyAlignment="1" pivotButton="0" quotePrefix="0" xfId="0">
      <alignment vertical="top"/>
    </xf>
    <xf numFmtId="0" fontId="6" fillId="0" borderId="1" applyAlignment="1" pivotButton="0" quotePrefix="0" xfId="0">
      <alignment vertical="top"/>
    </xf>
    <xf numFmtId="166" fontId="5" fillId="0" borderId="1" applyAlignment="1" pivotButton="0" quotePrefix="0" xfId="0">
      <alignment vertical="top"/>
    </xf>
    <xf numFmtId="167" fontId="5" fillId="0" borderId="1" applyAlignment="1" pivotButton="0" quotePrefix="0" xfId="0">
      <alignment vertical="top"/>
    </xf>
    <xf numFmtId="0" fontId="7" fillId="0" borderId="1" applyAlignment="1" pivotButton="0" quotePrefix="0" xfId="0">
      <alignment vertical="top" wrapText="1"/>
    </xf>
    <xf numFmtId="0" fontId="8" fillId="0" borderId="0" pivotButton="0" quotePrefix="0" xfId="0"/>
    <xf numFmtId="0" fontId="0" fillId="0" borderId="0" applyAlignment="1" pivotButton="0" quotePrefix="0" xfId="0">
      <alignment vertical="top" wrapText="1"/>
    </xf>
  </cellXfs>
  <cellStyles count="1">
    <cellStyle name="Normal" xfId="0" builtinId="0" hidden="0"/>
  </cellStyles>
  <dxfs count="8">
    <dxf>
      <font>
        <i val="1"/>
        <color rgb="008A8A8A"/>
      </font>
      <fill>
        <patternFill patternType="solid">
          <fgColor rgb="00F1F1EF"/>
        </patternFill>
      </fill>
    </dxf>
    <dxf>
      <fill>
        <patternFill patternType="solid">
          <fgColor rgb="00E3F1E6"/>
        </patternFill>
      </fill>
    </dxf>
    <dxf>
      <fill>
        <patternFill patternType="solid">
          <fgColor rgb="00F6F8FA"/>
        </patternFill>
      </fill>
    </dxf>
    <dxf>
      <font>
        <b val="1"/>
        <color rgb="000B6B22"/>
      </font>
      <fill>
        <patternFill patternType="solid">
          <fgColor rgb="00D8F0DD"/>
        </patternFill>
      </fill>
    </dxf>
    <dxf>
      <font>
        <b val="1"/>
        <color rgb="007A5200"/>
      </font>
      <fill>
        <patternFill patternType="solid">
          <fgColor rgb="00FFF1CC"/>
        </patternFill>
      </fill>
    </dxf>
    <dxf>
      <font>
        <b val="1"/>
        <color rgb="009B1C13"/>
      </font>
      <fill>
        <patternFill patternType="solid">
          <fgColor rgb="00FBD5D2"/>
        </patternFill>
      </fill>
    </dxf>
    <dxf>
      <font>
        <b val="1"/>
        <color rgb="009A3412"/>
      </font>
      <fill>
        <patternFill patternType="solid">
          <fgColor rgb="00FDE2C8"/>
        </patternFill>
      </fill>
    </dxf>
    <dxf>
      <font>
        <b val="1"/>
        <color rgb="000B6B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pipeline</author>
  </authors>
  <commentList>
    <comment ref="E7" authorId="0" shapeId="0">
      <text>
        <t>Published as S/ 2,600. Converted at 1 USD = S/ 3.385 (see METHODOLOGY).</t>
      </text>
    </comment>
    <comment ref="E8" authorId="0" shapeId="0">
      <text>
        <t>Published as S/ 2,450. Converted at 1 USD = S/ 3.385 (see METHODOLOGY).</t>
      </text>
    </comment>
    <comment ref="E10" authorId="0" shapeId="0">
      <text>
        <t>Published as S/ 2,150. Converted at 1 USD = S/ 3.385 (see METHODOLOGY).</t>
      </text>
    </comment>
    <comment ref="E13" authorId="0" shapeId="0">
      <text>
        <t>Published as S/ 2,250. Converted at 1 USD = S/ 3.385 (see METHODOLOGY).</t>
      </text>
    </comment>
    <comment ref="E15" authorId="0" shapeId="0">
      <text>
        <t>Published as S/ 2,750. Converted at 1 USD = S/ 3.385 (see METHODOLOGY).</t>
      </text>
    </comment>
    <comment ref="E16" authorId="0" shapeId="0">
      <text>
        <t>Published as S/ 2,650. Converted at 1 USD = S/ 3.385 (see METHODOLOGY).</t>
      </text>
    </comment>
    <comment ref="E17" authorId="0" shapeId="0">
      <text>
        <t>Published as S/ 2,650. Converted at 1 USD = S/ 3.385 (see METHODOLOGY).</t>
      </text>
    </comment>
    <comment ref="E19" authorId="0" shapeId="0">
      <text>
        <t>Published as S/ 2,900. Converted at 1 USD = S/ 3.385 (see METHODOLOGY).</t>
      </text>
    </comment>
    <comment ref="E21" authorId="0" shapeId="0">
      <text>
        <t>Published as S/ 3,000. Converted at 1 USD = S/ 3.385 (see METHODOLOGY).</t>
      </text>
    </comment>
    <comment ref="E22" authorId="0" shapeId="0">
      <text>
        <t>Published as S/ 2,700. Converted at 1 USD = S/ 3.385 (see METHODOLOGY).</t>
      </text>
    </comment>
    <comment ref="E23" authorId="0" shapeId="0">
      <text>
        <t>Published as S/ 3,250. Converted at 1 USD = S/ 3.385 (see METHODOLOGY).</t>
      </text>
    </comment>
    <comment ref="E24" authorId="0" shapeId="0">
      <text>
        <t>Published as S/ 2,750. Converted at 1 USD = S/ 3.385 (see METHODOLOGY).</t>
      </text>
    </comment>
    <comment ref="E25" authorId="0" shapeId="0">
      <text>
        <t>Published as S/ 2,850. Converted at 1 USD = S/ 3.385 (see METHODOLOGY).</t>
      </text>
    </comment>
    <comment ref="E26" authorId="0" shapeId="0">
      <text>
        <t>Published as S/ 3,300. Converted at 1 USD = S/ 3.385 (see METHODOLOGY).</t>
      </text>
    </comment>
    <comment ref="E28" authorId="0" shapeId="0">
      <text>
        <t>Published as S/ 2,300. Converted at 1 USD = S/ 3.385 (see METHODOLOGY).</t>
      </text>
    </comment>
    <comment ref="E30" authorId="0" shapeId="0">
      <text>
        <t>Published as S/ 3,350. Converted at 1 USD = S/ 3.385 (see METHODOLOGY).</t>
      </text>
    </comment>
  </commentList>
</comments>
</file>

<file path=xl/comments/comment2.xml><?xml version="1.0" encoding="utf-8"?>
<comments xmlns="http://schemas.openxmlformats.org/spreadsheetml/2006/main">
  <authors>
    <author>pipeline</author>
  </authors>
  <commentList>
    <comment ref="F7" authorId="0" shapeId="0">
      <text>
        <t>Published as S/ 2,600. Converted at 1 USD = S/ 3.385 (see METHODOLOGY).</t>
      </text>
    </comment>
    <comment ref="F8" authorId="0" shapeId="0">
      <text>
        <t>Published as S/ 2,450. Converted at 1 USD = S/ 3.385 (see METHODOLOGY).</t>
      </text>
    </comment>
    <comment ref="F10" authorId="0" shapeId="0">
      <text>
        <t>Published as S/ 2,150. Converted at 1 USD = S/ 3.385 (see METHODOLOGY).</t>
      </text>
    </comment>
    <comment ref="F13" authorId="0" shapeId="0">
      <text>
        <t>Published as S/ 2,250. Converted at 1 USD = S/ 3.385 (see METHODOLOGY).</t>
      </text>
    </comment>
    <comment ref="F15" authorId="0" shapeId="0">
      <text>
        <t>Published as S/ 2,750. Converted at 1 USD = S/ 3.385 (see METHODOLOGY).</t>
      </text>
    </comment>
    <comment ref="F16" authorId="0" shapeId="0">
      <text>
        <t>Published as S/ 2,650. Converted at 1 USD = S/ 3.385 (see METHODOLOGY).</t>
      </text>
    </comment>
    <comment ref="F17" authorId="0" shapeId="0">
      <text>
        <t>Published as S/ 2,650. Converted at 1 USD = S/ 3.385 (see METHODOLOGY).</t>
      </text>
    </comment>
    <comment ref="F19" authorId="0" shapeId="0">
      <text>
        <t>Published as S/ 2,900. Converted at 1 USD = S/ 3.385 (see METHODOLOGY).</t>
      </text>
    </comment>
    <comment ref="F21" authorId="0" shapeId="0">
      <text>
        <t>Published as S/ 3,000. Converted at 1 USD = S/ 3.385 (see METHODOLOGY).</t>
      </text>
    </comment>
    <comment ref="F22" authorId="0" shapeId="0">
      <text>
        <t>Published as S/ 2,700. Converted at 1 USD = S/ 3.385 (see METHODOLOGY).</t>
      </text>
    </comment>
    <comment ref="F23" authorId="0" shapeId="0">
      <text>
        <t>Published as S/ 3,250. Converted at 1 USD = S/ 3.385 (see METHODOLOGY).</t>
      </text>
    </comment>
    <comment ref="F24" authorId="0" shapeId="0">
      <text>
        <t>Published as S/ 2,750. Converted at 1 USD = S/ 3.385 (see METHODOLOGY).</t>
      </text>
    </comment>
    <comment ref="F25" authorId="0" shapeId="0">
      <text>
        <t>Published as S/ 2,850. Converted at 1 USD = S/ 3.385 (see METHODOLOGY).</t>
      </text>
    </comment>
    <comment ref="F26" authorId="0" shapeId="0">
      <text>
        <t>Published as S/ 3,300. Converted at 1 USD = S/ 3.385 (see METHODOLOGY).</t>
      </text>
    </comment>
    <comment ref="F28" authorId="0" shapeId="0">
      <text>
        <t>Published as S/ 2,300. Converted at 1 USD = S/ 3.385 (see METHODOLOGY).</t>
      </text>
    </comment>
    <comment ref="F30" authorId="0" shapeId="0">
      <text>
        <t>Published as S/ 3,350. Converted at 1 USD = S/ 3.385 (see METHODOLOGY).</t>
      </text>
    </comment>
  </commentList>
</comments>
</file>

<file path=xl/comments/comment3.xml><?xml version="1.0" encoding="utf-8"?>
<comments xmlns="http://schemas.openxmlformats.org/spreadsheetml/2006/main">
  <authors>
    <author>pipeline</author>
  </authors>
  <commentList>
    <comment ref="F5" authorId="0" shapeId="0">
      <text>
        <t>Published as S/ 3,600. Converted at 1 USD = S/ 3.385 (see METHODOLOGY).</t>
      </text>
    </comment>
    <comment ref="F7" authorId="0" shapeId="0">
      <text>
        <t>Published as S/ 3,600. Converted at 1 USD = S/ 3.385 (see METHODOLOGY).</t>
      </text>
    </comment>
    <comment ref="F9" authorId="0" shapeId="0">
      <text>
        <t>Published as S/ 3,550. Converted at 1 USD = S/ 3.385 (see METHODOLOGY).</t>
      </text>
    </comment>
    <comment ref="F11" authorId="0" shapeId="0">
      <text>
        <t>Published as S/ 3,450. Converted at 1 USD = S/ 3.385 (see METHODOLOGY).</t>
      </text>
    </comment>
    <comment ref="F12" authorId="0" shapeId="0">
      <text>
        <t>Published as S/ 3,550. Converted at 1 USD = S/ 3.385 (see METHODOLOGY).</t>
      </text>
    </comment>
    <comment ref="F13" authorId="0" shapeId="0">
      <text>
        <t>Published as S/ 3,500. Converted at 1 USD = S/ 3.385 (see METHODOLOGY).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com/demo/adondevivir/1010" TargetMode="External" Id="rId1" /><Relationship Type="http://schemas.openxmlformats.org/officeDocument/2006/relationships/hyperlink" Target="https://www.google.com/maps/search/?api=1&amp;query=-12.107361,-77.038242" TargetMode="External" Id="rId2" /><Relationship Type="http://schemas.openxmlformats.org/officeDocument/2006/relationships/hyperlink" Target="https://example.com/demo/urbania/1001" TargetMode="External" Id="rId3" /><Relationship Type="http://schemas.openxmlformats.org/officeDocument/2006/relationships/hyperlink" Target="https://www.google.com/maps/search/?api=1&amp;query=-12.110958,-77.046751" TargetMode="External" Id="rId4" /><Relationship Type="http://schemas.openxmlformats.org/officeDocument/2006/relationships/hyperlink" Target="https://example.com/demo/adondevivir/1030.html" TargetMode="External" Id="rId5" /><Relationship Type="http://schemas.openxmlformats.org/officeDocument/2006/relationships/hyperlink" Target="https://www.google.com/maps/search/?api=1&amp;query=-12.118639,-77.044168" TargetMode="External" Id="rId6" /><Relationship Type="http://schemas.openxmlformats.org/officeDocument/2006/relationships/hyperlink" Target="https://example.com/demo/urbania/1023.html" TargetMode="External" Id="rId7" /><Relationship Type="http://schemas.openxmlformats.org/officeDocument/2006/relationships/hyperlink" Target="https://www.google.com/maps/search/?api=1&amp;query=-12.130803,-77.035289" TargetMode="External" Id="rId8" /><Relationship Type="http://schemas.openxmlformats.org/officeDocument/2006/relationships/hyperlink" Target="https://example.com/demo/urbania/1031" TargetMode="External" Id="rId9" /><Relationship Type="http://schemas.openxmlformats.org/officeDocument/2006/relationships/hyperlink" Target="https://www.google.com/maps/search/?api=1&amp;query=-12.127508,-77.045714" TargetMode="External" Id="rId10" /><Relationship Type="http://schemas.openxmlformats.org/officeDocument/2006/relationships/hyperlink" Target="https://example.com/demo/urbania/1011.html" TargetMode="External" Id="rId11" /><Relationship Type="http://schemas.openxmlformats.org/officeDocument/2006/relationships/hyperlink" Target="https://www.google.com/maps/search/?api=1&amp;query=-12.116287,-77.024685" TargetMode="External" Id="rId12" /><Relationship Type="http://schemas.openxmlformats.org/officeDocument/2006/relationships/hyperlink" Target="https://example.com/demo/urbania/1013" TargetMode="External" Id="rId13" /><Relationship Type="http://schemas.openxmlformats.org/officeDocument/2006/relationships/hyperlink" Target="https://www.google.com/maps/search/?api=1&amp;query=-12.131318,-77.027452" TargetMode="External" Id="rId14" /><Relationship Type="http://schemas.openxmlformats.org/officeDocument/2006/relationships/hyperlink" Target="https://example.com/demo/adondevivir/1004" TargetMode="External" Id="rId15" /><Relationship Type="http://schemas.openxmlformats.org/officeDocument/2006/relationships/hyperlink" Target="https://www.google.com/maps/search/?api=1&amp;query=-12.121697,-77.032041" TargetMode="External" Id="rId16" /><Relationship Type="http://schemas.openxmlformats.org/officeDocument/2006/relationships/hyperlink" Target="https://example.com/demo/adondevivir/1012.html" TargetMode="External" Id="rId17" /><Relationship Type="http://schemas.openxmlformats.org/officeDocument/2006/relationships/hyperlink" Target="https://www.google.com/maps/search/?api=1&amp;query=-12.124771,-77.041065" TargetMode="External" Id="rId18" /><Relationship Type="http://schemas.openxmlformats.org/officeDocument/2006/relationships/hyperlink" Target="https://example.com/demo/adondevivir/1028" TargetMode="External" Id="rId19" /><Relationship Type="http://schemas.openxmlformats.org/officeDocument/2006/relationships/hyperlink" Target="https://www.google.com/maps/search/?api=1&amp;query=-12.115723,-77.034908" TargetMode="External" Id="rId20" /><Relationship Type="http://schemas.openxmlformats.org/officeDocument/2006/relationships/hyperlink" Target="https://example.com/demo/urbania/1029.html" TargetMode="External" Id="rId21" /><Relationship Type="http://schemas.openxmlformats.org/officeDocument/2006/relationships/hyperlink" Target="https://www.google.com/maps/search/?api=1&amp;query=-12.112521,-77.046527" TargetMode="External" Id="rId22" /><Relationship Type="http://schemas.openxmlformats.org/officeDocument/2006/relationships/hyperlink" Target="https://example.com/demo/adondevivir/1002.html" TargetMode="External" Id="rId23" /><Relationship Type="http://schemas.openxmlformats.org/officeDocument/2006/relationships/hyperlink" Target="https://www.google.com/maps/search/?api=1&amp;query=-12.117181,-77.042835" TargetMode="External" Id="rId24" /><Relationship Type="http://schemas.openxmlformats.org/officeDocument/2006/relationships/hyperlink" Target="https://example.com/demo/urbania/1003.html" TargetMode="External" Id="rId25" /><Relationship Type="http://schemas.openxmlformats.org/officeDocument/2006/relationships/hyperlink" Target="https://www.google.com/maps/search/?api=1&amp;query=-12.127673,-77.046789" TargetMode="External" Id="rId26" /><Relationship Type="http://schemas.openxmlformats.org/officeDocument/2006/relationships/hyperlink" Target="https://example.com/demo/adondevivir/1016" TargetMode="External" Id="rId27" /><Relationship Type="http://schemas.openxmlformats.org/officeDocument/2006/relationships/hyperlink" Target="https://www.google.com/maps/search/?api=1&amp;query=-12.117762,-77.043899" TargetMode="External" Id="rId28" /><Relationship Type="http://schemas.openxmlformats.org/officeDocument/2006/relationships/hyperlink" Target="https://example.com/demo/adondevivir/1006.html" TargetMode="External" Id="rId29" /><Relationship Type="http://schemas.openxmlformats.org/officeDocument/2006/relationships/hyperlink" Target="https://www.google.com/maps/search/?api=1&amp;query=-12.119711,-77.030377" TargetMode="External" Id="rId30" /><Relationship Type="http://schemas.openxmlformats.org/officeDocument/2006/relationships/hyperlink" Target="https://example.com/demo/urbania/1007" TargetMode="External" Id="rId31" /><Relationship Type="http://schemas.openxmlformats.org/officeDocument/2006/relationships/hyperlink" Target="https://www.google.com/maps/search/?api=1&amp;query=-12.110139,-77.018611" TargetMode="External" Id="rId32" /><Relationship Type="http://schemas.openxmlformats.org/officeDocument/2006/relationships/hyperlink" Target="https://example.com/demo/urbania/1017.html" TargetMode="External" Id="rId33" /><Relationship Type="http://schemas.openxmlformats.org/officeDocument/2006/relationships/hyperlink" Target="https://www.google.com/maps/search/?api=1&amp;query=-12.128289,-77.044940" TargetMode="External" Id="rId34" /><Relationship Type="http://schemas.openxmlformats.org/officeDocument/2006/relationships/hyperlink" Target="https://example.com/demo/adondevivir/1032.html" TargetMode="External" Id="rId35" /><Relationship Type="http://schemas.openxmlformats.org/officeDocument/2006/relationships/hyperlink" Target="https://www.google.com/maps/search/?api=1&amp;query=-12.121657,-77.030689" TargetMode="External" Id="rId36" /><Relationship Type="http://schemas.openxmlformats.org/officeDocument/2006/relationships/hyperlink" Target="https://example.com/demo/adondevivir/1024.html" TargetMode="External" Id="rId37" /><Relationship Type="http://schemas.openxmlformats.org/officeDocument/2006/relationships/hyperlink" Target="https://www.google.com/maps/search/?api=1&amp;query=-12.106571,-77.037254" TargetMode="External" Id="rId38" /><Relationship Type="http://schemas.openxmlformats.org/officeDocument/2006/relationships/hyperlink" Target="https://example.com/demo/urbania/1021.html" TargetMode="External" Id="rId39" /><Relationship Type="http://schemas.openxmlformats.org/officeDocument/2006/relationships/hyperlink" Target="https://www.google.com/maps/search/?api=1&amp;query=-12.109984,-77.020297" TargetMode="External" Id="rId40" /><Relationship Type="http://schemas.openxmlformats.org/officeDocument/2006/relationships/hyperlink" Target="https://example.com/demo/urbania/1009.html" TargetMode="External" Id="rId41" /><Relationship Type="http://schemas.openxmlformats.org/officeDocument/2006/relationships/hyperlink" Target="https://www.google.com/maps/search/?api=1&amp;query=-12.130566,-77.035922" TargetMode="External" Id="rId42" /><Relationship Type="http://schemas.openxmlformats.org/officeDocument/2006/relationships/hyperlink" Target="https://example.com/demo/urbania/1015.html" TargetMode="External" Id="rId43" /><Relationship Type="http://schemas.openxmlformats.org/officeDocument/2006/relationships/hyperlink" Target="https://www.google.com/maps/search/?api=1&amp;query=-12.113006,-77.048195" TargetMode="External" Id="rId44" /><Relationship Type="http://schemas.openxmlformats.org/officeDocument/2006/relationships/hyperlink" Target="https://example.com/demo/urbania/1019" TargetMode="External" Id="rId45" /><Relationship Type="http://schemas.openxmlformats.org/officeDocument/2006/relationships/hyperlink" Target="https://www.google.com/maps/search/?api=1&amp;query=-12.122803,-77.030562" TargetMode="External" Id="rId46" /><Relationship Type="http://schemas.openxmlformats.org/officeDocument/2006/relationships/hyperlink" Target="https://example.com/demo/urbania/1005.html" TargetMode="External" Id="rId47" /><Relationship Type="http://schemas.openxmlformats.org/officeDocument/2006/relationships/hyperlink" Target="https://www.google.com/maps/search/?api=1&amp;query=-12.120507,-77.030441" TargetMode="External" Id="rId48" /><Relationship Type="http://schemas.openxmlformats.org/officeDocument/2006/relationships/hyperlink" Target="https://example.com/demo/adondevivir/1034" TargetMode="External" Id="rId49" /><Relationship Type="http://schemas.openxmlformats.org/officeDocument/2006/relationships/hyperlink" Target="https://www.google.com/maps/search/?api=1&amp;query=-12.120220,-77.029124" TargetMode="External" Id="rId50" /><Relationship Type="http://schemas.openxmlformats.org/officeDocument/2006/relationships/hyperlink" Target="https://example.com/demo/urbania/1033.html" TargetMode="External" Id="rId51" /><Relationship Type="http://schemas.openxmlformats.org/officeDocument/2006/relationships/hyperlink" Target="https://www.google.com/maps/search/?api=1&amp;query=-12.121806,-77.030062" TargetMode="External" Id="rId5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example.com/demo/adondevivir/1010" TargetMode="External" Id="rId1" /><Relationship Type="http://schemas.openxmlformats.org/officeDocument/2006/relationships/hyperlink" Target="https://www.google.com/maps/search/?api=1&amp;query=-12.107361,-77.038242" TargetMode="External" Id="rId2" /><Relationship Type="http://schemas.openxmlformats.org/officeDocument/2006/relationships/hyperlink" Target="https://example.com/demo/urbania/1001" TargetMode="External" Id="rId3" /><Relationship Type="http://schemas.openxmlformats.org/officeDocument/2006/relationships/hyperlink" Target="https://www.google.com/maps/search/?api=1&amp;query=-12.110958,-77.046751" TargetMode="External" Id="rId4" /><Relationship Type="http://schemas.openxmlformats.org/officeDocument/2006/relationships/hyperlink" Target="https://example.com/demo/adondevivir/1030.html" TargetMode="External" Id="rId5" /><Relationship Type="http://schemas.openxmlformats.org/officeDocument/2006/relationships/hyperlink" Target="https://www.google.com/maps/search/?api=1&amp;query=-12.118639,-77.044168" TargetMode="External" Id="rId6" /><Relationship Type="http://schemas.openxmlformats.org/officeDocument/2006/relationships/hyperlink" Target="https://example.com/demo/urbania/1023.html" TargetMode="External" Id="rId7" /><Relationship Type="http://schemas.openxmlformats.org/officeDocument/2006/relationships/hyperlink" Target="https://www.google.com/maps/search/?api=1&amp;query=-12.130803,-77.035289" TargetMode="External" Id="rId8" /><Relationship Type="http://schemas.openxmlformats.org/officeDocument/2006/relationships/hyperlink" Target="https://example.com/demo/urbania/1031" TargetMode="External" Id="rId9" /><Relationship Type="http://schemas.openxmlformats.org/officeDocument/2006/relationships/hyperlink" Target="https://www.google.com/maps/search/?api=1&amp;query=-12.127508,-77.045714" TargetMode="External" Id="rId10" /><Relationship Type="http://schemas.openxmlformats.org/officeDocument/2006/relationships/hyperlink" Target="https://example.com/demo/urbania/1011.html" TargetMode="External" Id="rId11" /><Relationship Type="http://schemas.openxmlformats.org/officeDocument/2006/relationships/hyperlink" Target="https://www.google.com/maps/search/?api=1&amp;query=-12.116287,-77.024685" TargetMode="External" Id="rId12" /><Relationship Type="http://schemas.openxmlformats.org/officeDocument/2006/relationships/hyperlink" Target="https://example.com/demo/urbania/1013" TargetMode="External" Id="rId13" /><Relationship Type="http://schemas.openxmlformats.org/officeDocument/2006/relationships/hyperlink" Target="https://www.google.com/maps/search/?api=1&amp;query=-12.131318,-77.027452" TargetMode="External" Id="rId14" /><Relationship Type="http://schemas.openxmlformats.org/officeDocument/2006/relationships/hyperlink" Target="https://example.com/demo/adondevivir/1004" TargetMode="External" Id="rId15" /><Relationship Type="http://schemas.openxmlformats.org/officeDocument/2006/relationships/hyperlink" Target="https://www.google.com/maps/search/?api=1&amp;query=-12.121697,-77.032041" TargetMode="External" Id="rId16" /><Relationship Type="http://schemas.openxmlformats.org/officeDocument/2006/relationships/hyperlink" Target="https://example.com/demo/adondevivir/1012.html" TargetMode="External" Id="rId17" /><Relationship Type="http://schemas.openxmlformats.org/officeDocument/2006/relationships/hyperlink" Target="https://www.google.com/maps/search/?api=1&amp;query=-12.124771,-77.041065" TargetMode="External" Id="rId18" /><Relationship Type="http://schemas.openxmlformats.org/officeDocument/2006/relationships/hyperlink" Target="https://example.com/demo/adondevivir/1028" TargetMode="External" Id="rId19" /><Relationship Type="http://schemas.openxmlformats.org/officeDocument/2006/relationships/hyperlink" Target="https://www.google.com/maps/search/?api=1&amp;query=-12.115723,-77.034908" TargetMode="External" Id="rId20" /><Relationship Type="http://schemas.openxmlformats.org/officeDocument/2006/relationships/hyperlink" Target="https://example.com/demo/urbania/1029.html" TargetMode="External" Id="rId21" /><Relationship Type="http://schemas.openxmlformats.org/officeDocument/2006/relationships/hyperlink" Target="https://www.google.com/maps/search/?api=1&amp;query=-12.112521,-77.046527" TargetMode="External" Id="rId22" /><Relationship Type="http://schemas.openxmlformats.org/officeDocument/2006/relationships/hyperlink" Target="https://example.com/demo/adondevivir/1002.html" TargetMode="External" Id="rId23" /><Relationship Type="http://schemas.openxmlformats.org/officeDocument/2006/relationships/hyperlink" Target="https://www.google.com/maps/search/?api=1&amp;query=-12.117181,-77.042835" TargetMode="External" Id="rId24" /><Relationship Type="http://schemas.openxmlformats.org/officeDocument/2006/relationships/hyperlink" Target="https://example.com/demo/urbania/1003.html" TargetMode="External" Id="rId25" /><Relationship Type="http://schemas.openxmlformats.org/officeDocument/2006/relationships/hyperlink" Target="https://www.google.com/maps/search/?api=1&amp;query=-12.127673,-77.046789" TargetMode="External" Id="rId26" /><Relationship Type="http://schemas.openxmlformats.org/officeDocument/2006/relationships/hyperlink" Target="https://example.com/demo/adondevivir/1016" TargetMode="External" Id="rId27" /><Relationship Type="http://schemas.openxmlformats.org/officeDocument/2006/relationships/hyperlink" Target="https://www.google.com/maps/search/?api=1&amp;query=-12.117762,-77.043899" TargetMode="External" Id="rId28" /><Relationship Type="http://schemas.openxmlformats.org/officeDocument/2006/relationships/hyperlink" Target="https://example.com/demo/adondevivir/1006.html" TargetMode="External" Id="rId29" /><Relationship Type="http://schemas.openxmlformats.org/officeDocument/2006/relationships/hyperlink" Target="https://www.google.com/maps/search/?api=1&amp;query=-12.119711,-77.030377" TargetMode="External" Id="rId30" /><Relationship Type="http://schemas.openxmlformats.org/officeDocument/2006/relationships/hyperlink" Target="https://example.com/demo/urbania/1007" TargetMode="External" Id="rId31" /><Relationship Type="http://schemas.openxmlformats.org/officeDocument/2006/relationships/hyperlink" Target="https://www.google.com/maps/search/?api=1&amp;query=-12.110139,-77.018611" TargetMode="External" Id="rId32" /><Relationship Type="http://schemas.openxmlformats.org/officeDocument/2006/relationships/hyperlink" Target="https://example.com/demo/urbania/1017.html" TargetMode="External" Id="rId33" /><Relationship Type="http://schemas.openxmlformats.org/officeDocument/2006/relationships/hyperlink" Target="https://www.google.com/maps/search/?api=1&amp;query=-12.128289,-77.044940" TargetMode="External" Id="rId34" /><Relationship Type="http://schemas.openxmlformats.org/officeDocument/2006/relationships/hyperlink" Target="https://example.com/demo/adondevivir/1032.html" TargetMode="External" Id="rId35" /><Relationship Type="http://schemas.openxmlformats.org/officeDocument/2006/relationships/hyperlink" Target="https://www.google.com/maps/search/?api=1&amp;query=-12.121657,-77.030689" TargetMode="External" Id="rId36" /><Relationship Type="http://schemas.openxmlformats.org/officeDocument/2006/relationships/hyperlink" Target="https://example.com/demo/adondevivir/1024.html" TargetMode="External" Id="rId37" /><Relationship Type="http://schemas.openxmlformats.org/officeDocument/2006/relationships/hyperlink" Target="https://www.google.com/maps/search/?api=1&amp;query=-12.106571,-77.037254" TargetMode="External" Id="rId38" /><Relationship Type="http://schemas.openxmlformats.org/officeDocument/2006/relationships/hyperlink" Target="https://example.com/demo/urbania/1021.html" TargetMode="External" Id="rId39" /><Relationship Type="http://schemas.openxmlformats.org/officeDocument/2006/relationships/hyperlink" Target="https://www.google.com/maps/search/?api=1&amp;query=-12.109984,-77.020297" TargetMode="External" Id="rId40" /><Relationship Type="http://schemas.openxmlformats.org/officeDocument/2006/relationships/hyperlink" Target="https://example.com/demo/urbania/1009.html" TargetMode="External" Id="rId41" /><Relationship Type="http://schemas.openxmlformats.org/officeDocument/2006/relationships/hyperlink" Target="https://www.google.com/maps/search/?api=1&amp;query=-12.130566,-77.035922" TargetMode="External" Id="rId42" /><Relationship Type="http://schemas.openxmlformats.org/officeDocument/2006/relationships/hyperlink" Target="https://example.com/demo/urbania/1015.html" TargetMode="External" Id="rId43" /><Relationship Type="http://schemas.openxmlformats.org/officeDocument/2006/relationships/hyperlink" Target="https://www.google.com/maps/search/?api=1&amp;query=-12.113006,-77.048195" TargetMode="External" Id="rId44" /><Relationship Type="http://schemas.openxmlformats.org/officeDocument/2006/relationships/hyperlink" Target="https://example.com/demo/urbania/1019" TargetMode="External" Id="rId45" /><Relationship Type="http://schemas.openxmlformats.org/officeDocument/2006/relationships/hyperlink" Target="https://www.google.com/maps/search/?api=1&amp;query=-12.122803,-77.030562" TargetMode="External" Id="rId46" /><Relationship Type="http://schemas.openxmlformats.org/officeDocument/2006/relationships/hyperlink" Target="https://example.com/demo/urbania/1005.html" TargetMode="External" Id="rId47" /><Relationship Type="http://schemas.openxmlformats.org/officeDocument/2006/relationships/hyperlink" Target="https://www.google.com/maps/search/?api=1&amp;query=-12.120507,-77.030441" TargetMode="External" Id="rId48" /><Relationship Type="http://schemas.openxmlformats.org/officeDocument/2006/relationships/hyperlink" Target="https://example.com/demo/adondevivir/1034" TargetMode="External" Id="rId49" /><Relationship Type="http://schemas.openxmlformats.org/officeDocument/2006/relationships/hyperlink" Target="https://www.google.com/maps/search/?api=1&amp;query=-12.120220,-77.029124" TargetMode="External" Id="rId50" /><Relationship Type="http://schemas.openxmlformats.org/officeDocument/2006/relationships/hyperlink" Target="https://example.com/demo/urbania/1033.html" TargetMode="External" Id="rId51" /><Relationship Type="http://schemas.openxmlformats.org/officeDocument/2006/relationships/hyperlink" Target="https://www.google.com/maps/search/?api=1&amp;query=-12.121806,-77.030062" TargetMode="External" Id="rId5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example.com/demo/adondevivir/1026.html" TargetMode="External" Id="rId1" /><Relationship Type="http://schemas.openxmlformats.org/officeDocument/2006/relationships/hyperlink" Target="https://www.google.com/maps/search/?api=1&amp;query=-12.122599,-77.041530" TargetMode="External" Id="rId2" /><Relationship Type="http://schemas.openxmlformats.org/officeDocument/2006/relationships/hyperlink" Target="https://example.com/demo/urbania/9004" TargetMode="External" Id="rId3" /><Relationship Type="http://schemas.openxmlformats.org/officeDocument/2006/relationships/hyperlink" Target="https://www.google.com/maps/search/?api=1&amp;query=-12.131000,-77.040000" TargetMode="External" Id="rId4" /><Relationship Type="http://schemas.openxmlformats.org/officeDocument/2006/relationships/hyperlink" Target="https://example.com/demo/urbania/1027.html" TargetMode="External" Id="rId5" /><Relationship Type="http://schemas.openxmlformats.org/officeDocument/2006/relationships/hyperlink" Target="https://www.google.com/maps/search/?api=1&amp;query=-12.131175,-77.028157" TargetMode="External" Id="rId6" /><Relationship Type="http://schemas.openxmlformats.org/officeDocument/2006/relationships/hyperlink" Target="https://example.com/demo/urbania/1025" TargetMode="External" Id="rId7" /><Relationship Type="http://schemas.openxmlformats.org/officeDocument/2006/relationships/hyperlink" Target="https://www.google.com/maps/search/?api=1&amp;query=-12.113883,-77.024139" TargetMode="External" Id="rId8" /><Relationship Type="http://schemas.openxmlformats.org/officeDocument/2006/relationships/hyperlink" Target="https://example.com/demo/adondevivir/1014.html" TargetMode="External" Id="rId9" /><Relationship Type="http://schemas.openxmlformats.org/officeDocument/2006/relationships/hyperlink" Target="https://www.google.com/maps/search/?api=1&amp;query=-12.118348,-77.033802" TargetMode="External" Id="rId10" /><Relationship Type="http://schemas.openxmlformats.org/officeDocument/2006/relationships/hyperlink" Target="https://example.com/demo/adondevivir/1022" TargetMode="External" Id="rId11" /><Relationship Type="http://schemas.openxmlformats.org/officeDocument/2006/relationships/hyperlink" Target="https://www.google.com/maps/search/?api=1&amp;query=-12.125383,-77.019654" TargetMode="External" Id="rId12" /><Relationship Type="http://schemas.openxmlformats.org/officeDocument/2006/relationships/hyperlink" Target="https://example.com/demo/adondevivir/1008.html" TargetMode="External" Id="rId13" /><Relationship Type="http://schemas.openxmlformats.org/officeDocument/2006/relationships/hyperlink" Target="https://www.google.com/maps/search/?api=1&amp;query=-12.125703,-77.019827" TargetMode="External" Id="rId14" /><Relationship Type="http://schemas.openxmlformats.org/officeDocument/2006/relationships/hyperlink" Target="https://example.com/demo/adondevivir/1018.html" TargetMode="External" Id="rId15" /><Relationship Type="http://schemas.openxmlformats.org/officeDocument/2006/relationships/hyperlink" Target="https://www.google.com/maps/search/?api=1&amp;query=-12.122184,-77.031250" TargetMode="External" Id="rId16" /><Relationship Type="http://schemas.openxmlformats.org/officeDocument/2006/relationships/hyperlink" Target="https://example.com/demo/adondevivir/1020.html" TargetMode="External" Id="rId17" /><Relationship Type="http://schemas.openxmlformats.org/officeDocument/2006/relationships/hyperlink" Target="https://www.google.com/maps/search/?api=1&amp;query=-12.118705,-77.031051" TargetMode="External" Id="rId18"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https://example.com/demo/urbania/9005" TargetMode="External" Id="rId1" /><Relationship Type="http://schemas.openxmlformats.org/officeDocument/2006/relationships/hyperlink" Target="https://www.google.com/maps/search/?api=1&amp;query=-12.118000,-77.008500" TargetMode="External" Id="rId2" /></Relationships>
</file>

<file path=xl/worksheets/_rels/sheet7.xml.rels><Relationships xmlns="http://schemas.openxmlformats.org/package/2006/relationships"><Relationship Type="http://schemas.openxmlformats.org/officeDocument/2006/relationships/hyperlink" Target="https://example.com/demo/adondevivir/1010" TargetMode="External" Id="rId1" /><Relationship Type="http://schemas.openxmlformats.org/officeDocument/2006/relationships/hyperlink" Target="https://example.com/demo/urbania/1001" TargetMode="External" Id="rId2" /><Relationship Type="http://schemas.openxmlformats.org/officeDocument/2006/relationships/hyperlink" Target="https://example.com/demo/adondevivir/1030.html" TargetMode="External" Id="rId3" /><Relationship Type="http://schemas.openxmlformats.org/officeDocument/2006/relationships/hyperlink" Target="https://example.com/demo/urbania/1023.html" TargetMode="External" Id="rId4" /><Relationship Type="http://schemas.openxmlformats.org/officeDocument/2006/relationships/hyperlink" Target="https://example.com/demo/urbania/1031" TargetMode="External" Id="rId5" /><Relationship Type="http://schemas.openxmlformats.org/officeDocument/2006/relationships/hyperlink" Target="https://example.com/demo/urbania/1011.html" TargetMode="External" Id="rId6" /><Relationship Type="http://schemas.openxmlformats.org/officeDocument/2006/relationships/hyperlink" Target="https://example.com/demo/urbania/1013" TargetMode="External" Id="rId7" /><Relationship Type="http://schemas.openxmlformats.org/officeDocument/2006/relationships/hyperlink" Target="https://example.com/demo/adondevivir/1004" TargetMode="External" Id="rId8" /><Relationship Type="http://schemas.openxmlformats.org/officeDocument/2006/relationships/hyperlink" Target="https://example.com/demo/adondevivir/1012.html" TargetMode="External" Id="rId9" /><Relationship Type="http://schemas.openxmlformats.org/officeDocument/2006/relationships/hyperlink" Target="https://example.com/demo/adondevivir/1028" TargetMode="External" Id="rId10" /></Relationships>
</file>

<file path=xl/worksheets/sheet1.xml><?xml version="1.0" encoding="utf-8"?>
<worksheet xmlns="http://schemas.openxmlformats.org/spreadsheetml/2006/main">
  <sheetPr>
    <outlinePr summaryBelow="1" summaryRight="1"/>
    <pageSetUpPr/>
  </sheetPr>
  <dimension ref="A1:Y30"/>
  <sheetViews>
    <sheetView zoomScale="100"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7" customWidth="1" min="3" max="3"/>
    <col width="34" customWidth="1" min="4" max="4"/>
    <col width="11" customWidth="1" min="5" max="5"/>
    <col width="16" customWidth="1" min="6" max="6"/>
    <col width="11" customWidth="1" min="7" max="7"/>
    <col width="8" customWidth="1" min="8" max="8"/>
    <col width="8" customWidth="1" min="9" max="9"/>
    <col width="8" customWidth="1" min="10" max="10"/>
    <col width="10" customWidth="1" min="11" max="11"/>
    <col width="9" customWidth="1" min="12" max="12"/>
    <col width="7" customWidth="1" min="13" max="13"/>
    <col width="14" customWidth="1" min="14" max="14"/>
    <col width="9" customWidth="1" min="15" max="15"/>
    <col width="34" customWidth="1" min="16" max="16"/>
    <col width="12" customWidth="1" min="17" max="17"/>
    <col width="14" customWidth="1" min="18" max="18"/>
    <col width="40" customWidth="1" min="19" max="19"/>
    <col width="36" customWidth="1" min="20" max="20"/>
    <col width="14" customWidth="1" min="21" max="21"/>
    <col width="12" customWidth="1" min="22" max="22"/>
    <col width="14" customWidth="1" min="23" max="23"/>
    <col width="10" customWidth="1" min="24" max="24"/>
    <col width="18" customWidth="1" min="25" max="25"/>
  </cols>
  <sheetData>
    <row r="1">
      <c r="A1" s="1" t="inlineStr">
        <is>
          <t>Miraflores rental shortlist — Top 10 and strong alternatives</t>
        </is>
      </c>
    </row>
    <row r="2">
      <c r="A2" s="2" t="inlineStr">
        <is>
          <t>Generated 2026-09-24T17:45:37-05:00 · FX 1 USD = S/ 3.385 (fallback) · Budget-compliant (rent ≤ USD 1,000), 1–2 bedrooms, inside Miraflores. Availability as checked at the QA timestamp; not guaranteed.</t>
        </is>
      </c>
    </row>
    <row r="3">
      <c r="A3" s="3" t="inlineStr">
        <is>
          <t>SYNTHETIC DEMO DATA — FORMAT PREVIEW ONLY — THESE ARE NOT REAL LISTINGS</t>
        </is>
      </c>
    </row>
    <row r="4" ht="30" customHeight="1">
      <c r="A4" s="4" t="inlineStr">
        <is>
          <t>Tier</t>
        </is>
      </c>
      <c r="B4" s="4" t="inlineStr">
        <is>
          <t>Rank</t>
        </is>
      </c>
      <c r="C4" s="4" t="inlineStr">
        <is>
          <t>Fit Score</t>
        </is>
      </c>
      <c r="D4" s="4" t="inlineStr">
        <is>
          <t>Property</t>
        </is>
      </c>
      <c r="E4" s="4" t="inlineStr">
        <is>
          <t>Monthly Rent USD</t>
        </is>
      </c>
      <c r="F4" s="4" t="inlineStr">
        <is>
          <t>Maintenance</t>
        </is>
      </c>
      <c r="G4" s="4" t="inlineStr">
        <is>
          <t>Estimated Total USD</t>
        </is>
      </c>
      <c r="H4" s="4" t="inlineStr">
        <is>
          <t>Bedrooms</t>
        </is>
      </c>
      <c r="I4" s="4" t="inlineStr">
        <is>
          <t>Area m²</t>
        </is>
      </c>
      <c r="J4" s="4" t="inlineStr">
        <is>
          <t>USD/m²</t>
        </is>
      </c>
      <c r="K4" s="4" t="inlineStr">
        <is>
          <t>Furnished</t>
        </is>
      </c>
      <c r="L4" s="4" t="inlineStr">
        <is>
          <t>Parking</t>
        </is>
      </c>
      <c r="M4" s="4" t="inlineStr">
        <is>
          <t>Floor</t>
        </is>
      </c>
      <c r="N4" s="4" t="inlineStr">
        <is>
          <t>Noise Risk</t>
        </is>
      </c>
      <c r="O4" s="4" t="inlineStr">
        <is>
          <t>Quietness Score</t>
        </is>
      </c>
      <c r="P4" s="4" t="inlineStr">
        <is>
          <t>Location</t>
        </is>
      </c>
      <c r="Q4" s="4" t="inlineStr">
        <is>
          <t>Contract</t>
        </is>
      </c>
      <c r="R4" s="4" t="inlineStr">
        <is>
          <t>Deposit</t>
        </is>
      </c>
      <c r="S4" s="4" t="inlineStr">
        <is>
          <t>Main Advantage</t>
        </is>
      </c>
      <c r="T4" s="4" t="inlineStr">
        <is>
          <t>Main Drawback</t>
        </is>
      </c>
      <c r="U4" s="4" t="inlineStr">
        <is>
          <t>Source</t>
        </is>
      </c>
      <c r="V4" s="4" t="inlineStr">
        <is>
          <t>View Listing</t>
        </is>
      </c>
      <c r="W4" s="4" t="inlineStr">
        <is>
          <t>WhatsApp</t>
        </is>
      </c>
      <c r="X4" s="4" t="inlineStr">
        <is>
          <t>Map</t>
        </is>
      </c>
      <c r="Y4" s="4" t="inlineStr">
        <is>
          <t>QA Status</t>
        </is>
      </c>
    </row>
    <row r="5">
      <c r="A5" s="5" t="inlineStr">
        <is>
          <t>TOP 10</t>
        </is>
      </c>
      <c r="B5" s="6" t="n">
        <v>1</v>
      </c>
      <c r="C5" s="7" t="n">
        <v>79.8</v>
      </c>
      <c r="D5" s="8" t="inlineStr">
        <is>
          <t>2BR · 72 m² — Calle Ejemplo 109 (DEMO)</t>
        </is>
      </c>
      <c r="E5" s="9" t="n">
        <v>860</v>
      </c>
      <c r="F5" s="5" t="inlineStr">
        <is>
          <t>S/ 250 (≈ USD 74)</t>
        </is>
      </c>
      <c r="G5" s="9" t="n">
        <v>933.86</v>
      </c>
      <c r="H5" s="6" t="n">
        <v>2</v>
      </c>
      <c r="I5" s="6" t="n">
        <v>72</v>
      </c>
      <c r="J5" s="7" t="n">
        <v>11.94</v>
      </c>
      <c r="K5" s="5" t="inlineStr">
        <is>
          <t>Semi</t>
        </is>
      </c>
      <c r="L5" s="5" t="inlineStr">
        <is>
          <t>UNKNOWN</t>
        </is>
      </c>
      <c r="M5" s="5" t="inlineStr">
        <is>
          <t>UNKNOWN</t>
        </is>
      </c>
      <c r="N5" s="5" t="inlineStr">
        <is>
          <t>LOW · conf. high</t>
        </is>
      </c>
      <c r="O5" s="6" t="n">
        <v>97</v>
      </c>
      <c r="P5" s="8" t="inlineStr">
        <is>
          <t>Calle Ejemplo 109 (DEMO) · supermarket 349 m, pharmacy 351 m</t>
        </is>
      </c>
      <c r="Q5" s="5" t="inlineStr">
        <is>
          <t>12 months min.</t>
        </is>
      </c>
      <c r="R5" s="8" t="inlineStr">
        <is>
          <t>2 months deposit; 1 in advance</t>
        </is>
      </c>
      <c r="S5" s="8" t="inlineStr">
        <is>
          <t>72 m² built area — good for a 2-bedroom; low estimated noise (97/100); interior-facing</t>
        </is>
      </c>
      <c r="T5" s="8" t="inlineStr">
        <is>
          <t>no major drawback identified from listing data</t>
        </is>
      </c>
      <c r="U5" s="5" t="inlineStr">
        <is>
          <t>Adondevivir</t>
        </is>
      </c>
      <c r="V5" s="10" t="inlineStr">
        <is>
          <t>View listing</t>
        </is>
      </c>
      <c r="W5" s="5" t="inlineStr">
        <is>
          <t>—</t>
        </is>
      </c>
      <c r="X5" s="10" t="inlineStr">
        <is>
          <t>Open map</t>
        </is>
      </c>
      <c r="Y5" s="5" t="inlineStr">
        <is>
          <t>PROGRAMMATIC_PASS</t>
        </is>
      </c>
    </row>
    <row r="6">
      <c r="A6" s="5" t="inlineStr">
        <is>
          <t>TOP 10</t>
        </is>
      </c>
      <c r="B6" s="6" t="n">
        <v>2</v>
      </c>
      <c r="C6" s="7" t="n">
        <v>77.3</v>
      </c>
      <c r="D6" s="8" t="inlineStr">
        <is>
          <t>1BR · 58 m² — Calle Ejemplo 100 (DEMO)</t>
        </is>
      </c>
      <c r="E6" s="9" t="n">
        <v>870</v>
      </c>
      <c r="F6" s="5" t="inlineStr">
        <is>
          <t>S/ 420 (≈ USD 124)</t>
        </is>
      </c>
      <c r="G6" s="9" t="n">
        <v>994.08</v>
      </c>
      <c r="H6" s="6" t="n">
        <v>1</v>
      </c>
      <c r="I6" s="6" t="n">
        <v>58</v>
      </c>
      <c r="J6" s="7" t="n">
        <v>15</v>
      </c>
      <c r="K6" s="5" t="inlineStr">
        <is>
          <t>Yes</t>
        </is>
      </c>
      <c r="L6" s="5" t="inlineStr">
        <is>
          <t>UNKNOWN</t>
        </is>
      </c>
      <c r="M6" s="5" t="n">
        <v>9</v>
      </c>
      <c r="N6" s="5" t="inlineStr">
        <is>
          <t>LOW · conf. medium</t>
        </is>
      </c>
      <c r="O6" s="6" t="n">
        <v>75</v>
      </c>
      <c r="P6" s="8" t="inlineStr">
        <is>
          <t>Calle Ejemplo 100 (DEMO) · park 0 m, Malecón 408 m</t>
        </is>
      </c>
      <c r="Q6" s="5" t="inlineStr">
        <is>
          <t>UNKNOWN</t>
        </is>
      </c>
      <c r="R6" s="5" t="inlineStr">
        <is>
          <t>UNKNOWN</t>
        </is>
      </c>
      <c r="S6" s="8" t="inlineStr">
        <is>
          <t>58 m² built area — good for a 1-bedroom; low estimated noise (75/100); USD 15.0/m² (good value vs other 1BR in sample)</t>
        </is>
      </c>
      <c r="T6" s="8" t="inlineStr">
        <is>
          <t>no major drawback identified from listing data</t>
        </is>
      </c>
      <c r="U6" s="8" t="inlineStr">
        <is>
          <t>Adondevivir + Urbania</t>
        </is>
      </c>
      <c r="V6" s="10" t="inlineStr">
        <is>
          <t>View listing</t>
        </is>
      </c>
      <c r="W6" s="5" t="inlineStr">
        <is>
          <t>—</t>
        </is>
      </c>
      <c r="X6" s="10" t="inlineStr">
        <is>
          <t>Open map</t>
        </is>
      </c>
      <c r="Y6" s="5" t="inlineStr">
        <is>
          <t>PROGRAMMATIC_PASS</t>
        </is>
      </c>
    </row>
    <row r="7">
      <c r="A7" s="5" t="inlineStr">
        <is>
          <t>TOP 10</t>
        </is>
      </c>
      <c r="B7" s="6" t="n">
        <v>3</v>
      </c>
      <c r="C7" s="7" t="n">
        <v>74.7</v>
      </c>
      <c r="D7" s="8" t="inlineStr">
        <is>
          <t>2BR · 80 m² — Av. Ejemplo 229 (DEMO)</t>
        </is>
      </c>
      <c r="E7" s="9" t="n">
        <v>768.09</v>
      </c>
      <c r="F7" s="5" t="inlineStr">
        <is>
          <t>S/ 420 (≈ USD 124)</t>
        </is>
      </c>
      <c r="G7" s="9" t="n">
        <v>892.17</v>
      </c>
      <c r="H7" s="6" t="n">
        <v>2</v>
      </c>
      <c r="I7" s="6" t="n">
        <v>80</v>
      </c>
      <c r="J7" s="7" t="n">
        <v>9.6</v>
      </c>
      <c r="K7" s="5" t="inlineStr">
        <is>
          <t>Yes</t>
        </is>
      </c>
      <c r="L7" s="5" t="inlineStr">
        <is>
          <t>No</t>
        </is>
      </c>
      <c r="M7" s="5" t="inlineStr">
        <is>
          <t>UNKNOWN</t>
        </is>
      </c>
      <c r="N7" s="5" t="inlineStr">
        <is>
          <t>LOW · conf. high</t>
        </is>
      </c>
      <c r="O7" s="6" t="n">
        <v>72</v>
      </c>
      <c r="P7" s="8" t="inlineStr">
        <is>
          <t>Av. Ejemplo 229 (DEMO) · Malecón 689 m</t>
        </is>
      </c>
      <c r="Q7" s="5" t="inlineStr">
        <is>
          <t>12 months min.</t>
        </is>
      </c>
      <c r="R7" s="5" t="inlineStr">
        <is>
          <t>2 months deposit</t>
        </is>
      </c>
      <c r="S7" s="8" t="inlineStr">
        <is>
          <t>80 m² built area — good for a 2-bedroom; low estimated noise (72/100); USD 9.6/m² (excellent value vs other 2BR in sample)</t>
        </is>
      </c>
      <c r="T7" s="8" t="inlineStr">
        <is>
          <t>no direct phone/WhatsApp — contact via portal</t>
        </is>
      </c>
      <c r="U7" s="5" t="inlineStr">
        <is>
          <t>Adondevivir</t>
        </is>
      </c>
      <c r="V7" s="10" t="inlineStr">
        <is>
          <t>View listing</t>
        </is>
      </c>
      <c r="W7" s="5" t="inlineStr">
        <is>
          <t>—</t>
        </is>
      </c>
      <c r="X7" s="10" t="inlineStr">
        <is>
          <t>Open map</t>
        </is>
      </c>
      <c r="Y7" s="5" t="inlineStr">
        <is>
          <t>PROGRAMMATIC_PASS</t>
        </is>
      </c>
    </row>
    <row r="8">
      <c r="A8" s="5" t="inlineStr">
        <is>
          <t>TOP 10</t>
        </is>
      </c>
      <c r="B8" s="6" t="n">
        <v>4</v>
      </c>
      <c r="C8" s="7" t="n">
        <v>72.8</v>
      </c>
      <c r="D8" s="8" t="inlineStr">
        <is>
          <t>1BR · 63 m² — Av. Ejemplo 222 (DEMO)</t>
        </is>
      </c>
      <c r="E8" s="9" t="n">
        <v>723.78</v>
      </c>
      <c r="F8" s="5" t="inlineStr">
        <is>
          <t>S/ 300 (≈ USD 89)</t>
        </is>
      </c>
      <c r="G8" s="9" t="n">
        <v>812.41</v>
      </c>
      <c r="H8" s="6" t="n">
        <v>1</v>
      </c>
      <c r="I8" s="6" t="n">
        <v>63</v>
      </c>
      <c r="J8" s="7" t="n">
        <v>11.49</v>
      </c>
      <c r="K8" s="5" t="inlineStr">
        <is>
          <t>Yes</t>
        </is>
      </c>
      <c r="L8" s="5" t="inlineStr">
        <is>
          <t>No</t>
        </is>
      </c>
      <c r="M8" s="5" t="inlineStr">
        <is>
          <t>UNKNOWN</t>
        </is>
      </c>
      <c r="N8" s="8" t="inlineStr">
        <is>
          <t>MEDIUM · conf. high</t>
        </is>
      </c>
      <c r="O8" s="6" t="n">
        <v>60</v>
      </c>
      <c r="P8" s="8" t="inlineStr">
        <is>
          <t>Av. Ejemplo 222 (DEMO)</t>
        </is>
      </c>
      <c r="Q8" s="5" t="inlineStr">
        <is>
          <t>UNKNOWN</t>
        </is>
      </c>
      <c r="R8" s="5" t="inlineStr">
        <is>
          <t>UNKNOWN</t>
        </is>
      </c>
      <c r="S8" s="8" t="inlineStr">
        <is>
          <t>63 m² built area — very spacious for a 1-bedroom; USD 11.5/m² (excellent value vs other 1BR in sample); all-in ≈ USD 812/month</t>
        </is>
      </c>
      <c r="T8" s="8" t="inlineStr">
        <is>
          <t>listing says the unit faces an avenue</t>
        </is>
      </c>
      <c r="U8" s="5" t="inlineStr">
        <is>
          <t>Urbania</t>
        </is>
      </c>
      <c r="V8" s="10" t="inlineStr">
        <is>
          <t>View listing</t>
        </is>
      </c>
      <c r="W8" s="5" t="inlineStr">
        <is>
          <t>—</t>
        </is>
      </c>
      <c r="X8" s="10" t="inlineStr">
        <is>
          <t>Open map</t>
        </is>
      </c>
      <c r="Y8" s="5" t="inlineStr">
        <is>
          <t>PROGRAMMATIC_PASS</t>
        </is>
      </c>
    </row>
    <row r="9">
      <c r="A9" s="5" t="inlineStr">
        <is>
          <t>TOP 10</t>
        </is>
      </c>
      <c r="B9" s="6" t="n">
        <v>5</v>
      </c>
      <c r="C9" s="7" t="n">
        <v>71.59999999999999</v>
      </c>
      <c r="D9" s="8" t="inlineStr">
        <is>
          <t>1BR · 61 m² — Calle Ejemplo 130 (DEMO)</t>
        </is>
      </c>
      <c r="E9" s="9" t="n">
        <v>970</v>
      </c>
      <c r="F9" s="5" t="inlineStr">
        <is>
          <t>UNKNOWN</t>
        </is>
      </c>
      <c r="G9" s="5" t="inlineStr">
        <is>
          <t>UNKNOWN</t>
        </is>
      </c>
      <c r="H9" s="6" t="n">
        <v>1</v>
      </c>
      <c r="I9" s="6" t="n">
        <v>61</v>
      </c>
      <c r="J9" s="7" t="n">
        <v>15.9</v>
      </c>
      <c r="K9" s="5" t="inlineStr">
        <is>
          <t>No</t>
        </is>
      </c>
      <c r="L9" s="5" t="inlineStr">
        <is>
          <t>UNKNOWN</t>
        </is>
      </c>
      <c r="M9" s="5" t="inlineStr">
        <is>
          <t>UNKNOWN</t>
        </is>
      </c>
      <c r="N9" s="5" t="inlineStr">
        <is>
          <t>LOW · conf. low</t>
        </is>
      </c>
      <c r="O9" s="6" t="n">
        <v>72</v>
      </c>
      <c r="P9" s="8" t="inlineStr">
        <is>
          <t>Calle Ejemplo 130 (DEMO) · supermarket 288 m, pharmacy 389 m, café 250 m, Malecón 521 m</t>
        </is>
      </c>
      <c r="Q9" s="5" t="inlineStr">
        <is>
          <t>12 months min.</t>
        </is>
      </c>
      <c r="R9" s="5" t="inlineStr">
        <is>
          <t>2 months deposit</t>
        </is>
      </c>
      <c r="S9" s="8" t="inlineStr">
        <is>
          <t>61 m² built area — very spacious for a 1-bedroom; USD 15.9/m² (good value vs other 1BR in sample); building security/controlled access</t>
        </is>
      </c>
      <c r="T9" s="8" t="inlineStr">
        <is>
          <t>maintenance fee not published — confirm before visiting</t>
        </is>
      </c>
      <c r="U9" s="5" t="inlineStr">
        <is>
          <t>Urbania</t>
        </is>
      </c>
      <c r="V9" s="10" t="inlineStr">
        <is>
          <t>View listing</t>
        </is>
      </c>
      <c r="W9" s="5" t="inlineStr">
        <is>
          <t>—</t>
        </is>
      </c>
      <c r="X9" s="10" t="inlineStr">
        <is>
          <t>Open map</t>
        </is>
      </c>
      <c r="Y9" s="5" t="inlineStr">
        <is>
          <t>PROGRAMMATIC_PASS</t>
        </is>
      </c>
    </row>
    <row r="10">
      <c r="A10" s="5" t="inlineStr">
        <is>
          <t>TOP 10</t>
        </is>
      </c>
      <c r="B10" s="6" t="n">
        <v>6</v>
      </c>
      <c r="C10" s="7" t="n">
        <v>71.3</v>
      </c>
      <c r="D10" s="8" t="inlineStr">
        <is>
          <t>1BR · 38 m² — Av. Ejemplo 210 (DEMO)</t>
        </is>
      </c>
      <c r="E10" s="9" t="n">
        <v>635.16</v>
      </c>
      <c r="F10" s="5" t="inlineStr">
        <is>
          <t>S/ 350 (≈ USD 103)</t>
        </is>
      </c>
      <c r="G10" s="9" t="n">
        <v>738.5599999999999</v>
      </c>
      <c r="H10" s="6" t="n">
        <v>1</v>
      </c>
      <c r="I10" s="6" t="n">
        <v>38</v>
      </c>
      <c r="J10" s="7" t="n">
        <v>16.71</v>
      </c>
      <c r="K10" s="5" t="inlineStr">
        <is>
          <t>Yes</t>
        </is>
      </c>
      <c r="L10" s="5" t="inlineStr">
        <is>
          <t>Yes (1)</t>
        </is>
      </c>
      <c r="M10" s="5" t="inlineStr">
        <is>
          <t>UNKNOWN</t>
        </is>
      </c>
      <c r="N10" s="5" t="inlineStr">
        <is>
          <t>LOW · conf. low</t>
        </is>
      </c>
      <c r="O10" s="6" t="n">
        <v>72</v>
      </c>
      <c r="P10" s="8" t="inlineStr">
        <is>
          <t>Av. Ejemplo 210 (DEMO) · supermarket 325 m, pharmacy 312 m</t>
        </is>
      </c>
      <c r="Q10" s="5" t="inlineStr">
        <is>
          <t>12 months min.</t>
        </is>
      </c>
      <c r="R10" s="5" t="inlineStr">
        <is>
          <t>2 months deposit</t>
        </is>
      </c>
      <c r="S10" s="8" t="inlineStr">
        <is>
          <t>all-in ≈ USD 739/month; furnished; building security/controlled access</t>
        </is>
      </c>
      <c r="T10" s="8" t="inlineStr">
        <is>
          <t>portal shows an approximate location only</t>
        </is>
      </c>
      <c r="U10" s="5" t="inlineStr">
        <is>
          <t>Urbania</t>
        </is>
      </c>
      <c r="V10" s="10" t="inlineStr">
        <is>
          <t>View listing</t>
        </is>
      </c>
      <c r="W10" s="5" t="inlineStr">
        <is>
          <t>—</t>
        </is>
      </c>
      <c r="X10" s="10" t="inlineStr">
        <is>
          <t>Open map</t>
        </is>
      </c>
      <c r="Y10" s="5" t="inlineStr">
        <is>
          <t>PROGRAMMATIC_PASS</t>
        </is>
      </c>
    </row>
    <row r="11">
      <c r="A11" s="5" t="inlineStr">
        <is>
          <t>TOP 10</t>
        </is>
      </c>
      <c r="B11" s="6" t="n">
        <v>7</v>
      </c>
      <c r="C11" s="7" t="n">
        <v>69.5</v>
      </c>
      <c r="D11" s="8" t="inlineStr">
        <is>
          <t>1BR · 43 m² — Calle Ejemplo 112 (DEMO)</t>
        </is>
      </c>
      <c r="E11" s="9" t="n">
        <v>710</v>
      </c>
      <c r="F11" s="5" t="inlineStr">
        <is>
          <t>S/ 420 (≈ USD 124)</t>
        </is>
      </c>
      <c r="G11" s="9" t="n">
        <v>834.08</v>
      </c>
      <c r="H11" s="6" t="n">
        <v>1</v>
      </c>
      <c r="I11" s="6" t="n">
        <v>43</v>
      </c>
      <c r="J11" s="7" t="n">
        <v>16.51</v>
      </c>
      <c r="K11" s="5" t="inlineStr">
        <is>
          <t>Semi</t>
        </is>
      </c>
      <c r="L11" s="5" t="inlineStr">
        <is>
          <t>UNKNOWN</t>
        </is>
      </c>
      <c r="M11" s="5" t="inlineStr">
        <is>
          <t>UNKNOWN</t>
        </is>
      </c>
      <c r="N11" s="5" t="inlineStr">
        <is>
          <t>MEDIUM · conf. low</t>
        </is>
      </c>
      <c r="O11" s="6" t="n">
        <v>66</v>
      </c>
      <c r="P11" s="8" t="inlineStr">
        <is>
          <t>Calle Ejemplo 112 (DEMO) · supermarket 304 m, pharmacy 301 m, bus/Metropolitano stop 354 m</t>
        </is>
      </c>
      <c r="Q11" s="5" t="inlineStr">
        <is>
          <t>12 months min.</t>
        </is>
      </c>
      <c r="R11" s="5" t="inlineStr">
        <is>
          <t>2 months deposit</t>
        </is>
      </c>
      <c r="S11" s="8" t="inlineStr">
        <is>
          <t>all-in ≈ USD 834/month; building security/controlled access; balcony/terrace</t>
        </is>
      </c>
      <c r="T11" s="8" t="inlineStr">
        <is>
          <t>portal shows an approximate location only</t>
        </is>
      </c>
      <c r="U11" s="5" t="inlineStr">
        <is>
          <t>Urbania</t>
        </is>
      </c>
      <c r="V11" s="10" t="inlineStr">
        <is>
          <t>View listing</t>
        </is>
      </c>
      <c r="W11" s="5" t="inlineStr">
        <is>
          <t>—</t>
        </is>
      </c>
      <c r="X11" s="10" t="inlineStr">
        <is>
          <t>Open map</t>
        </is>
      </c>
      <c r="Y11" s="5" t="inlineStr">
        <is>
          <t>PROGRAMMATIC_PASS</t>
        </is>
      </c>
    </row>
    <row r="12">
      <c r="A12" s="5" t="inlineStr">
        <is>
          <t>TOP 10</t>
        </is>
      </c>
      <c r="B12" s="6" t="n">
        <v>8</v>
      </c>
      <c r="C12" s="7" t="n">
        <v>68.90000000000001</v>
      </c>
      <c r="D12" s="8" t="inlineStr">
        <is>
          <t>2BR · 92 m² — Calle Ejemplo 103 (DEMO)</t>
        </is>
      </c>
      <c r="E12" s="9" t="n">
        <v>760</v>
      </c>
      <c r="F12" s="5" t="inlineStr">
        <is>
          <t>UNKNOWN</t>
        </is>
      </c>
      <c r="G12" s="5" t="inlineStr">
        <is>
          <t>UNKNOWN</t>
        </is>
      </c>
      <c r="H12" s="6" t="n">
        <v>2</v>
      </c>
      <c r="I12" s="6" t="n">
        <v>92</v>
      </c>
      <c r="J12" s="7" t="n">
        <v>8.26</v>
      </c>
      <c r="K12" s="5" t="inlineStr">
        <is>
          <t>Yes</t>
        </is>
      </c>
      <c r="L12" s="5" t="inlineStr">
        <is>
          <t>Yes</t>
        </is>
      </c>
      <c r="M12" s="5" t="inlineStr">
        <is>
          <t>UNKNOWN</t>
        </is>
      </c>
      <c r="N12" s="5" t="inlineStr">
        <is>
          <t>MEDIUM · conf. low</t>
        </is>
      </c>
      <c r="O12" s="6" t="n">
        <v>54</v>
      </c>
      <c r="P12" s="8" t="inlineStr">
        <is>
          <t>Calle Ejemplo 103 (DEMO) · bus/Metropolitano stop 257 m</t>
        </is>
      </c>
      <c r="Q12" s="5" t="inlineStr">
        <is>
          <t>6 months min.</t>
        </is>
      </c>
      <c r="R12" s="5" t="inlineStr">
        <is>
          <t>UNKNOWN</t>
        </is>
      </c>
      <c r="S12" s="8" t="inlineStr">
        <is>
          <t>92 m² built area — very spacious for a 2-bedroom; interior-facing; USD 8.3/m² (excellent value vs other 2BR in sample)</t>
        </is>
      </c>
      <c r="T12" s="8" t="inlineStr">
        <is>
          <t>bars/nightlife nearby — check at night</t>
        </is>
      </c>
      <c r="U12" s="5" t="inlineStr">
        <is>
          <t>Adondevivir</t>
        </is>
      </c>
      <c r="V12" s="10" t="inlineStr">
        <is>
          <t>View listing</t>
        </is>
      </c>
      <c r="W12" s="5" t="inlineStr">
        <is>
          <t>—</t>
        </is>
      </c>
      <c r="X12" s="10" t="inlineStr">
        <is>
          <t>Open map</t>
        </is>
      </c>
      <c r="Y12" s="5" t="inlineStr">
        <is>
          <t>PROGRAMMATIC_PASS</t>
        </is>
      </c>
    </row>
    <row r="13">
      <c r="A13" s="5" t="inlineStr">
        <is>
          <t>TOP 10</t>
        </is>
      </c>
      <c r="B13" s="6" t="n">
        <v>9</v>
      </c>
      <c r="C13" s="7" t="n">
        <v>66.59999999999999</v>
      </c>
      <c r="D13" s="8" t="inlineStr">
        <is>
          <t>2BR · 61 m² — Av. Ejemplo 211 (DEMO)</t>
        </is>
      </c>
      <c r="E13" s="9" t="n">
        <v>664.7</v>
      </c>
      <c r="F13" s="5" t="inlineStr">
        <is>
          <t>S/ 420 (≈ USD 124)</t>
        </is>
      </c>
      <c r="G13" s="9" t="n">
        <v>788.78</v>
      </c>
      <c r="H13" s="6" t="n">
        <v>2</v>
      </c>
      <c r="I13" s="6" t="n">
        <v>61</v>
      </c>
      <c r="J13" s="7" t="n">
        <v>10.9</v>
      </c>
      <c r="K13" s="5" t="inlineStr">
        <is>
          <t>No</t>
        </is>
      </c>
      <c r="L13" s="5" t="inlineStr">
        <is>
          <t>No</t>
        </is>
      </c>
      <c r="M13" s="5" t="inlineStr">
        <is>
          <t>UNKNOWN</t>
        </is>
      </c>
      <c r="N13" s="5" t="inlineStr">
        <is>
          <t>LOW · conf. high</t>
        </is>
      </c>
      <c r="O13" s="6" t="n">
        <v>85</v>
      </c>
      <c r="P13" s="8" t="inlineStr">
        <is>
          <t>Av. Ejemplo 211 (DEMO) · supermarket 429 m, park 233 m</t>
        </is>
      </c>
      <c r="Q13" s="5" t="inlineStr">
        <is>
          <t>6 months min.</t>
        </is>
      </c>
      <c r="R13" s="5" t="inlineStr">
        <is>
          <t>UNKNOWN</t>
        </is>
      </c>
      <c r="S13" s="8" t="inlineStr">
        <is>
          <t>low estimated noise (85/100); interior-facing; USD 10.9/m² (good value vs other 2BR in sample)</t>
        </is>
      </c>
      <c r="T13" s="5" t="inlineStr">
        <is>
          <t>unfurnished</t>
        </is>
      </c>
      <c r="U13" s="5" t="inlineStr">
        <is>
          <t>Adondevivir</t>
        </is>
      </c>
      <c r="V13" s="10" t="inlineStr">
        <is>
          <t>View listing</t>
        </is>
      </c>
      <c r="W13" s="5" t="inlineStr">
        <is>
          <t>—</t>
        </is>
      </c>
      <c r="X13" s="10" t="inlineStr">
        <is>
          <t>Open map</t>
        </is>
      </c>
      <c r="Y13" s="5" t="inlineStr">
        <is>
          <t>PROGRAMMATIC_PASS</t>
        </is>
      </c>
    </row>
    <row r="14">
      <c r="A14" s="5" t="inlineStr">
        <is>
          <t>TOP 10</t>
        </is>
      </c>
      <c r="B14" s="6" t="n">
        <v>10</v>
      </c>
      <c r="C14" s="7" t="n">
        <v>64.2</v>
      </c>
      <c r="D14" s="8" t="inlineStr">
        <is>
          <t>1BR · 47 m² — Calle Ejemplo 127 (DEMO)</t>
        </is>
      </c>
      <c r="E14" s="9" t="n">
        <v>650</v>
      </c>
      <c r="F14" s="5" t="inlineStr">
        <is>
          <t>S/ 300 (≈ USD 89)</t>
        </is>
      </c>
      <c r="G14" s="9" t="n">
        <v>738.63</v>
      </c>
      <c r="H14" s="6" t="n">
        <v>1</v>
      </c>
      <c r="I14" s="6" t="n">
        <v>47</v>
      </c>
      <c r="J14" s="7" t="n">
        <v>13.83</v>
      </c>
      <c r="K14" s="5" t="inlineStr">
        <is>
          <t>No</t>
        </is>
      </c>
      <c r="L14" s="5" t="inlineStr">
        <is>
          <t>UNKNOWN</t>
        </is>
      </c>
      <c r="M14" s="5" t="n">
        <v>10</v>
      </c>
      <c r="N14" s="5" t="inlineStr">
        <is>
          <t>LOW · conf. medium</t>
        </is>
      </c>
      <c r="O14" s="6" t="n">
        <v>75</v>
      </c>
      <c r="P14" s="8" t="inlineStr">
        <is>
          <t>Calle Ejemplo 127 (DEMO)</t>
        </is>
      </c>
      <c r="Q14" s="5" t="inlineStr">
        <is>
          <t>UNKNOWN</t>
        </is>
      </c>
      <c r="R14" s="5" t="inlineStr">
        <is>
          <t>UNKNOWN</t>
        </is>
      </c>
      <c r="S14" s="8" t="inlineStr">
        <is>
          <t>low estimated noise (75/100); USD 13.8/m² (good value vs other 1BR in sample); all-in ≈ USD 739/month</t>
        </is>
      </c>
      <c r="T14" s="5" t="inlineStr">
        <is>
          <t>unfurnished</t>
        </is>
      </c>
      <c r="U14" s="5" t="inlineStr">
        <is>
          <t>Adondevivir</t>
        </is>
      </c>
      <c r="V14" s="10" t="inlineStr">
        <is>
          <t>View listing</t>
        </is>
      </c>
      <c r="W14" s="5" t="inlineStr">
        <is>
          <t>—</t>
        </is>
      </c>
      <c r="X14" s="10" t="inlineStr">
        <is>
          <t>Open map</t>
        </is>
      </c>
      <c r="Y14" s="5" t="inlineStr">
        <is>
          <t>PROGRAMMATIC_PASS</t>
        </is>
      </c>
    </row>
    <row r="15">
      <c r="A15" s="5" t="inlineStr">
        <is>
          <t>ALTERNATIVE</t>
        </is>
      </c>
      <c r="B15" s="6" t="n">
        <v>11</v>
      </c>
      <c r="C15" s="7" t="n">
        <v>63.6</v>
      </c>
      <c r="D15" s="8" t="inlineStr">
        <is>
          <t>2BR · 58 m² — Av. Ejemplo 228 (DEMO)</t>
        </is>
      </c>
      <c r="E15" s="9" t="n">
        <v>812.41</v>
      </c>
      <c r="F15" s="5" t="inlineStr">
        <is>
          <t>S/ 420 (≈ USD 124)</t>
        </is>
      </c>
      <c r="G15" s="9" t="n">
        <v>936.49</v>
      </c>
      <c r="H15" s="6" t="n">
        <v>2</v>
      </c>
      <c r="I15" s="6" t="n">
        <v>58</v>
      </c>
      <c r="J15" s="7" t="n">
        <v>14.01</v>
      </c>
      <c r="K15" s="5" t="inlineStr">
        <is>
          <t>Semi</t>
        </is>
      </c>
      <c r="L15" s="5" t="inlineStr">
        <is>
          <t>Yes (1)</t>
        </is>
      </c>
      <c r="M15" s="5" t="inlineStr">
        <is>
          <t>UNKNOWN</t>
        </is>
      </c>
      <c r="N15" s="8" t="inlineStr">
        <is>
          <t>MEDIUM · conf. high</t>
        </is>
      </c>
      <c r="O15" s="6" t="n">
        <v>60</v>
      </c>
      <c r="P15" s="8" t="inlineStr">
        <is>
          <t>Av. Ejemplo 228 (DEMO) · park 0 m, Malecón 432 m</t>
        </is>
      </c>
      <c r="Q15" s="5" t="inlineStr">
        <is>
          <t>UNKNOWN</t>
        </is>
      </c>
      <c r="R15" s="5" t="inlineStr">
        <is>
          <t>UNKNOWN</t>
        </is>
      </c>
      <c r="S15" s="8" t="inlineStr">
        <is>
          <t>building security/controlled access</t>
        </is>
      </c>
      <c r="T15" s="8" t="inlineStr">
        <is>
          <t>listing says the unit faces an avenue</t>
        </is>
      </c>
      <c r="U15" s="5" t="inlineStr">
        <is>
          <t>Urbania</t>
        </is>
      </c>
      <c r="V15" s="10" t="inlineStr">
        <is>
          <t>View listing</t>
        </is>
      </c>
      <c r="W15" s="5" t="inlineStr">
        <is>
          <t>—</t>
        </is>
      </c>
      <c r="X15" s="10" t="inlineStr">
        <is>
          <t>Open map</t>
        </is>
      </c>
      <c r="Y15" s="5" t="inlineStr">
        <is>
          <t>PROGRAMMATIC_PASS</t>
        </is>
      </c>
    </row>
    <row r="16">
      <c r="A16" s="5" t="inlineStr">
        <is>
          <t>ALTERNATIVE</t>
        </is>
      </c>
      <c r="B16" s="6" t="n">
        <v>12</v>
      </c>
      <c r="C16" s="7" t="n">
        <v>63.5</v>
      </c>
      <c r="D16" s="8" t="inlineStr">
        <is>
          <t>1BR · 62 m² — Av. Ejemplo 201 (DEMO)</t>
        </is>
      </c>
      <c r="E16" s="9" t="n">
        <v>782.87</v>
      </c>
      <c r="F16" s="5" t="inlineStr">
        <is>
          <t>S/ 420 (≈ USD 124)</t>
        </is>
      </c>
      <c r="G16" s="9" t="n">
        <v>906.95</v>
      </c>
      <c r="H16" s="6" t="n">
        <v>1</v>
      </c>
      <c r="I16" s="6" t="n">
        <v>62</v>
      </c>
      <c r="J16" s="7" t="n">
        <v>12.63</v>
      </c>
      <c r="K16" s="5" t="inlineStr">
        <is>
          <t>No</t>
        </is>
      </c>
      <c r="L16" s="5" t="inlineStr">
        <is>
          <t>No</t>
        </is>
      </c>
      <c r="M16" s="5" t="n">
        <v>3</v>
      </c>
      <c r="N16" s="5" t="inlineStr">
        <is>
          <t>LOW · conf. medium</t>
        </is>
      </c>
      <c r="O16" s="6" t="n">
        <v>72</v>
      </c>
      <c r="P16" s="8" t="inlineStr">
        <is>
          <t>Av. Ejemplo 201 (DEMO) · Malecón 834 m</t>
        </is>
      </c>
      <c r="Q16" s="5" t="inlineStr">
        <is>
          <t>UNKNOWN</t>
        </is>
      </c>
      <c r="R16" s="5" t="inlineStr">
        <is>
          <t>UNKNOWN</t>
        </is>
      </c>
      <c r="S16" s="8" t="inlineStr">
        <is>
          <t>62 m² built area — very spacious for a 1-bedroom; low estimated noise (72/100); USD 12.6/m² (excellent value vs other 1BR in sample)</t>
        </is>
      </c>
      <c r="T16" s="5" t="inlineStr">
        <is>
          <t>unfurnished</t>
        </is>
      </c>
      <c r="U16" s="5" t="inlineStr">
        <is>
          <t>Adondevivir</t>
        </is>
      </c>
      <c r="V16" s="10" t="inlineStr">
        <is>
          <t>View listing</t>
        </is>
      </c>
      <c r="W16" s="5" t="inlineStr">
        <is>
          <t>—</t>
        </is>
      </c>
      <c r="X16" s="10" t="inlineStr">
        <is>
          <t>Open map</t>
        </is>
      </c>
      <c r="Y16" s="5" t="inlineStr">
        <is>
          <t>PROGRAMMATIC_PASS</t>
        </is>
      </c>
    </row>
    <row r="17">
      <c r="A17" s="5" t="inlineStr">
        <is>
          <t>ALTERNATIVE</t>
        </is>
      </c>
      <c r="B17" s="6" t="n">
        <v>13</v>
      </c>
      <c r="C17" s="7" t="n">
        <v>63.4</v>
      </c>
      <c r="D17" s="8" t="inlineStr">
        <is>
          <t>1BR · 41 m² — Av. Ejemplo 202 (DEMO)</t>
        </is>
      </c>
      <c r="E17" s="9" t="n">
        <v>782.87</v>
      </c>
      <c r="F17" s="5" t="inlineStr">
        <is>
          <t>S/ 300 (≈ USD 89)</t>
        </is>
      </c>
      <c r="G17" s="9" t="n">
        <v>871.5</v>
      </c>
      <c r="H17" s="6" t="n">
        <v>1</v>
      </c>
      <c r="I17" s="6" t="n">
        <v>41</v>
      </c>
      <c r="J17" s="7" t="n">
        <v>19.09</v>
      </c>
      <c r="K17" s="5" t="inlineStr">
        <is>
          <t>UNKNOWN</t>
        </is>
      </c>
      <c r="L17" s="5" t="inlineStr">
        <is>
          <t>No</t>
        </is>
      </c>
      <c r="M17" s="5" t="n">
        <v>4</v>
      </c>
      <c r="N17" s="5" t="inlineStr">
        <is>
          <t>LOW · conf. medium</t>
        </is>
      </c>
      <c r="O17" s="6" t="n">
        <v>72</v>
      </c>
      <c r="P17" s="8" t="inlineStr">
        <is>
          <t>Av. Ejemplo 202 (DEMO) · supermarket 354 m, Malecón 404 m</t>
        </is>
      </c>
      <c r="Q17" s="5" t="inlineStr">
        <is>
          <t>UNKNOWN</t>
        </is>
      </c>
      <c r="R17" s="5" t="inlineStr">
        <is>
          <t>UNKNOWN</t>
        </is>
      </c>
      <c r="S17" s="8" t="inlineStr">
        <is>
          <t>low estimated noise (72/100); balcony/terrace</t>
        </is>
      </c>
      <c r="T17" s="8" t="inlineStr">
        <is>
          <t>no direct phone/WhatsApp — contact via portal</t>
        </is>
      </c>
      <c r="U17" s="5" t="inlineStr">
        <is>
          <t>Urbania</t>
        </is>
      </c>
      <c r="V17" s="10" t="inlineStr">
        <is>
          <t>View listing</t>
        </is>
      </c>
      <c r="W17" s="5" t="inlineStr">
        <is>
          <t>—</t>
        </is>
      </c>
      <c r="X17" s="10" t="inlineStr">
        <is>
          <t>Open map</t>
        </is>
      </c>
      <c r="Y17" s="5" t="inlineStr">
        <is>
          <t>PROGRAMMATIC_PASS</t>
        </is>
      </c>
    </row>
    <row r="18">
      <c r="A18" s="5" t="inlineStr">
        <is>
          <t>ALTERNATIVE</t>
        </is>
      </c>
      <c r="B18" s="6" t="n">
        <v>14</v>
      </c>
      <c r="C18" s="7" t="n">
        <v>63.4</v>
      </c>
      <c r="D18" s="8" t="inlineStr">
        <is>
          <t>2BR · 55 m² — Calle Ejemplo 115 (DEMO)</t>
        </is>
      </c>
      <c r="E18" s="9" t="n">
        <v>890</v>
      </c>
      <c r="F18" s="5" t="inlineStr">
        <is>
          <t>S/ 500 (≈ USD 148)</t>
        </is>
      </c>
      <c r="G18" s="9" t="n">
        <v>1037.71</v>
      </c>
      <c r="H18" s="6" t="n">
        <v>2</v>
      </c>
      <c r="I18" s="6" t="n">
        <v>55</v>
      </c>
      <c r="J18" s="7" t="n">
        <v>16.18</v>
      </c>
      <c r="K18" s="5" t="inlineStr">
        <is>
          <t>UNKNOWN</t>
        </is>
      </c>
      <c r="L18" s="5" t="inlineStr">
        <is>
          <t>UNKNOWN</t>
        </is>
      </c>
      <c r="M18" s="5" t="inlineStr">
        <is>
          <t>UNKNOWN</t>
        </is>
      </c>
      <c r="N18" s="5" t="inlineStr">
        <is>
          <t>LOW · conf. high</t>
        </is>
      </c>
      <c r="O18" s="6" t="n">
        <v>97</v>
      </c>
      <c r="P18" s="8" t="inlineStr">
        <is>
          <t>Calle Ejemplo 115 (DEMO) · Malecón 718 m</t>
        </is>
      </c>
      <c r="Q18" s="5" t="inlineStr">
        <is>
          <t>12 months min.</t>
        </is>
      </c>
      <c r="R18" s="8" t="inlineStr">
        <is>
          <t>2 months deposit; 1 in advance</t>
        </is>
      </c>
      <c r="S18" s="8" t="inlineStr">
        <is>
          <t>low estimated noise (97/100); interior-facing; acoustic/double-glazed windows</t>
        </is>
      </c>
      <c r="T18" s="8" t="inlineStr">
        <is>
          <t>rent + maintenance ≈ USD 1,038 (USD 890 rent + S/ 500 maintenance) exceeds USD 1,000</t>
        </is>
      </c>
      <c r="U18" s="5" t="inlineStr">
        <is>
          <t>Adondevivir</t>
        </is>
      </c>
      <c r="V18" s="10" t="inlineStr">
        <is>
          <t>View listing</t>
        </is>
      </c>
      <c r="W18" s="5" t="inlineStr">
        <is>
          <t>—</t>
        </is>
      </c>
      <c r="X18" s="10" t="inlineStr">
        <is>
          <t>Open map</t>
        </is>
      </c>
      <c r="Y18" s="5" t="inlineStr">
        <is>
          <t>PROGRAMMATIC_PASS</t>
        </is>
      </c>
    </row>
    <row r="19">
      <c r="A19" s="5" t="inlineStr">
        <is>
          <t>ALTERNATIVE</t>
        </is>
      </c>
      <c r="B19" s="6" t="n">
        <v>15</v>
      </c>
      <c r="C19" s="7" t="n">
        <v>63</v>
      </c>
      <c r="D19" s="8" t="inlineStr">
        <is>
          <t>2BR · 98 m² — Av. Ejemplo 205 (DEMO)</t>
        </is>
      </c>
      <c r="E19" s="9" t="n">
        <v>856.72</v>
      </c>
      <c r="F19" s="5" t="inlineStr">
        <is>
          <t>S/ 500 (≈ USD 148)</t>
        </is>
      </c>
      <c r="G19" s="9" t="n">
        <v>1004.43</v>
      </c>
      <c r="H19" s="6" t="n">
        <v>2</v>
      </c>
      <c r="I19" s="6" t="n">
        <v>98</v>
      </c>
      <c r="J19" s="7" t="n">
        <v>8.74</v>
      </c>
      <c r="K19" s="5" t="inlineStr">
        <is>
          <t>Yes</t>
        </is>
      </c>
      <c r="L19" s="5" t="inlineStr">
        <is>
          <t>Yes (1)</t>
        </is>
      </c>
      <c r="M19" s="5" t="inlineStr">
        <is>
          <t>UNKNOWN</t>
        </is>
      </c>
      <c r="N19" s="5" t="inlineStr">
        <is>
          <t>HIGH · conf. low</t>
        </is>
      </c>
      <c r="O19" s="6" t="n">
        <v>44</v>
      </c>
      <c r="P19" s="8" t="inlineStr">
        <is>
          <t>Av. Ejemplo 205 (DEMO) · bus/Metropolitano stop 264 m</t>
        </is>
      </c>
      <c r="Q19" s="5" t="inlineStr">
        <is>
          <t>12 months min.</t>
        </is>
      </c>
      <c r="R19" s="8" t="inlineStr">
        <is>
          <t>2 months deposit; 1 in advance</t>
        </is>
      </c>
      <c r="S19" s="8" t="inlineStr">
        <is>
          <t>98 m² built area — very spacious for a 2-bedroom; interior-facing; acoustic/double-glazed windows</t>
        </is>
      </c>
      <c r="T19" s="8" t="inlineStr">
        <is>
          <t>high estimated noise: 41 m from Av. Demo Arterial (DEMO) (major road)</t>
        </is>
      </c>
      <c r="U19" s="5" t="inlineStr">
        <is>
          <t>Adondevivir</t>
        </is>
      </c>
      <c r="V19" s="10" t="inlineStr">
        <is>
          <t>View listing</t>
        </is>
      </c>
      <c r="W19" s="5" t="inlineStr">
        <is>
          <t>—</t>
        </is>
      </c>
      <c r="X19" s="10" t="inlineStr">
        <is>
          <t>Open map</t>
        </is>
      </c>
      <c r="Y19" s="5" t="inlineStr">
        <is>
          <t>PROGRAMMATIC_PASS</t>
        </is>
      </c>
    </row>
    <row r="20">
      <c r="A20" s="5" t="inlineStr">
        <is>
          <t>ALTERNATIVE</t>
        </is>
      </c>
      <c r="B20" s="6" t="n">
        <v>16</v>
      </c>
      <c r="C20" s="7" t="n">
        <v>62.9</v>
      </c>
      <c r="D20" s="8" t="inlineStr">
        <is>
          <t>2BR · 97 m² — Calle Ejemplo 106 (DEMO)</t>
        </is>
      </c>
      <c r="E20" s="9" t="n">
        <v>970</v>
      </c>
      <c r="F20" s="5" t="inlineStr">
        <is>
          <t>S/ 500 (≈ USD 148)</t>
        </is>
      </c>
      <c r="G20" s="9" t="n">
        <v>1117.71</v>
      </c>
      <c r="H20" s="6" t="n">
        <v>2</v>
      </c>
      <c r="I20" s="6" t="n">
        <v>97</v>
      </c>
      <c r="J20" s="7" t="n">
        <v>10</v>
      </c>
      <c r="K20" s="5" t="inlineStr">
        <is>
          <t>Yes</t>
        </is>
      </c>
      <c r="L20" s="5" t="inlineStr">
        <is>
          <t>UNKNOWN</t>
        </is>
      </c>
      <c r="M20" s="5" t="n">
        <v>14</v>
      </c>
      <c r="N20" s="8" t="inlineStr">
        <is>
          <t>MEDIUM · conf. medium</t>
        </is>
      </c>
      <c r="O20" s="6" t="n">
        <v>60</v>
      </c>
      <c r="P20" s="8" t="inlineStr">
        <is>
          <t>Calle Ejemplo 106 (DEMO)</t>
        </is>
      </c>
      <c r="Q20" s="5" t="inlineStr">
        <is>
          <t>UNKNOWN</t>
        </is>
      </c>
      <c r="R20" s="5" t="inlineStr">
        <is>
          <t>UNKNOWN</t>
        </is>
      </c>
      <c r="S20" s="8" t="inlineStr">
        <is>
          <t>97 m² built area — very spacious for a 2-bedroom; USD 10.0/m² (excellent value vs other 2BR in sample); furnished</t>
        </is>
      </c>
      <c r="T20" s="8" t="inlineStr">
        <is>
          <t>rent + maintenance ≈ USD 1,118 (USD 970 rent + S/ 500 maintenance) exceeds USD 1,000</t>
        </is>
      </c>
      <c r="U20" s="5" t="inlineStr">
        <is>
          <t>Urbania</t>
        </is>
      </c>
      <c r="V20" s="10" t="inlineStr">
        <is>
          <t>View listing</t>
        </is>
      </c>
      <c r="W20" s="5" t="inlineStr">
        <is>
          <t>—</t>
        </is>
      </c>
      <c r="X20" s="10" t="inlineStr">
        <is>
          <t>Open map</t>
        </is>
      </c>
      <c r="Y20" s="5" t="inlineStr">
        <is>
          <t>PROGRAMMATIC_PASS</t>
        </is>
      </c>
    </row>
    <row r="21">
      <c r="A21" s="5" t="inlineStr">
        <is>
          <t>ALTERNATIVE</t>
        </is>
      </c>
      <c r="B21" s="6" t="n">
        <v>17</v>
      </c>
      <c r="C21" s="7" t="n">
        <v>62</v>
      </c>
      <c r="D21" s="8" t="inlineStr">
        <is>
          <t>2BR · 63 m² — Av. Ejemplo 216 (DEMO)</t>
        </is>
      </c>
      <c r="E21" s="9" t="n">
        <v>886.26</v>
      </c>
      <c r="F21" s="5" t="inlineStr">
        <is>
          <t>S/ 500 (≈ USD 148)</t>
        </is>
      </c>
      <c r="G21" s="9" t="n">
        <v>1033.97</v>
      </c>
      <c r="H21" s="6" t="n">
        <v>2</v>
      </c>
      <c r="I21" s="6" t="n">
        <v>63</v>
      </c>
      <c r="J21" s="7" t="n">
        <v>14.07</v>
      </c>
      <c r="K21" s="5" t="inlineStr">
        <is>
          <t>Yes</t>
        </is>
      </c>
      <c r="L21" s="5" t="inlineStr">
        <is>
          <t>Yes (1)</t>
        </is>
      </c>
      <c r="M21" s="5" t="inlineStr">
        <is>
          <t>UNKNOWN</t>
        </is>
      </c>
      <c r="N21" s="5" t="inlineStr">
        <is>
          <t>MEDIUM · conf. low</t>
        </is>
      </c>
      <c r="O21" s="6" t="n">
        <v>60</v>
      </c>
      <c r="P21" s="8" t="inlineStr">
        <is>
          <t>Av. Ejemplo 216 (DEMO) · supermarket 364 m, café 273 m, Malecón 605 m</t>
        </is>
      </c>
      <c r="Q21" s="5" t="inlineStr">
        <is>
          <t>UNKNOWN</t>
        </is>
      </c>
      <c r="R21" s="5" t="inlineStr">
        <is>
          <t>UNKNOWN</t>
        </is>
      </c>
      <c r="S21" s="8" t="inlineStr">
        <is>
          <t>furnished; building security/controlled access</t>
        </is>
      </c>
      <c r="T21" s="8" t="inlineStr">
        <is>
          <t>listing says the unit faces an avenue</t>
        </is>
      </c>
      <c r="U21" s="5" t="inlineStr">
        <is>
          <t>Urbania</t>
        </is>
      </c>
      <c r="V21" s="10" t="inlineStr">
        <is>
          <t>View listing</t>
        </is>
      </c>
      <c r="W21" s="5" t="inlineStr">
        <is>
          <t>—</t>
        </is>
      </c>
      <c r="X21" s="10" t="inlineStr">
        <is>
          <t>Open map</t>
        </is>
      </c>
      <c r="Y21" s="5" t="inlineStr">
        <is>
          <t>PROGRAMMATIC_PASS</t>
        </is>
      </c>
    </row>
    <row r="22">
      <c r="A22" s="5" t="inlineStr">
        <is>
          <t>ALTERNATIVE</t>
        </is>
      </c>
      <c r="B22" s="6" t="n">
        <v>18</v>
      </c>
      <c r="C22" s="7" t="n">
        <v>60.8</v>
      </c>
      <c r="D22" s="8" t="inlineStr">
        <is>
          <t>1BR · 58 m² — Av. Ejemplo 231 (DEMO)</t>
        </is>
      </c>
      <c r="E22" s="9" t="n">
        <v>797.64</v>
      </c>
      <c r="F22" s="5" t="inlineStr">
        <is>
          <t>S/ 420 (≈ USD 124)</t>
        </is>
      </c>
      <c r="G22" s="9" t="n">
        <v>921.72</v>
      </c>
      <c r="H22" s="6" t="n">
        <v>1</v>
      </c>
      <c r="I22" s="6" t="n">
        <v>58</v>
      </c>
      <c r="J22" s="7" t="n">
        <v>13.75</v>
      </c>
      <c r="K22" s="5" t="inlineStr">
        <is>
          <t>Semi</t>
        </is>
      </c>
      <c r="L22" s="5" t="inlineStr">
        <is>
          <t>Yes (1)</t>
        </is>
      </c>
      <c r="M22" s="5" t="inlineStr">
        <is>
          <t>UNKNOWN</t>
        </is>
      </c>
      <c r="N22" s="5" t="inlineStr">
        <is>
          <t>HIGH · conf. low</t>
        </is>
      </c>
      <c r="O22" s="6" t="n">
        <v>40</v>
      </c>
      <c r="P22" s="8" t="inlineStr">
        <is>
          <t>Av. Ejemplo 231 (DEMO) · bus/Metropolitano stop 114 m</t>
        </is>
      </c>
      <c r="Q22" s="5" t="inlineStr">
        <is>
          <t>12 months min.</t>
        </is>
      </c>
      <c r="R22" s="8" t="inlineStr">
        <is>
          <t>2 months deposit; 1 in advance</t>
        </is>
      </c>
      <c r="S22" s="8" t="inlineStr">
        <is>
          <t>58 m² built area — good for a 1-bedroom; interior-facing; acoustic/double-glazed windows</t>
        </is>
      </c>
      <c r="T22" s="8" t="inlineStr">
        <is>
          <t>high estimated noise: 75 m from Av. Demo Arterial (DEMO) (major road)</t>
        </is>
      </c>
      <c r="U22" s="5" t="inlineStr">
        <is>
          <t>Adondevivir</t>
        </is>
      </c>
      <c r="V22" s="10" t="inlineStr">
        <is>
          <t>View listing</t>
        </is>
      </c>
      <c r="W22" s="5" t="inlineStr">
        <is>
          <t>—</t>
        </is>
      </c>
      <c r="X22" s="10" t="inlineStr">
        <is>
          <t>Open map</t>
        </is>
      </c>
      <c r="Y22" s="5" t="inlineStr">
        <is>
          <t>PROGRAMMATIC_PASS</t>
        </is>
      </c>
    </row>
    <row r="23">
      <c r="A23" s="5" t="inlineStr">
        <is>
          <t>ALTERNATIVE</t>
        </is>
      </c>
      <c r="B23" s="6" t="n">
        <v>19</v>
      </c>
      <c r="C23" s="7" t="n">
        <v>59</v>
      </c>
      <c r="D23" s="8" t="inlineStr">
        <is>
          <t>2BR · 53 m² — Av. Ejemplo 223 (DEMO)</t>
        </is>
      </c>
      <c r="E23" s="9" t="n">
        <v>960.12</v>
      </c>
      <c r="F23" s="5" t="inlineStr">
        <is>
          <t>S/ 350 (≈ USD 103)</t>
        </is>
      </c>
      <c r="G23" s="9" t="n">
        <v>1063.52</v>
      </c>
      <c r="H23" s="6" t="n">
        <v>2</v>
      </c>
      <c r="I23" s="6" t="n">
        <v>53</v>
      </c>
      <c r="J23" s="7" t="n">
        <v>18.12</v>
      </c>
      <c r="K23" s="5" t="inlineStr">
        <is>
          <t>Yes</t>
        </is>
      </c>
      <c r="L23" s="5" t="inlineStr">
        <is>
          <t>No</t>
        </is>
      </c>
      <c r="M23" s="5" t="inlineStr">
        <is>
          <t>UNKNOWN</t>
        </is>
      </c>
      <c r="N23" s="5" t="inlineStr">
        <is>
          <t>LOW · conf. high</t>
        </is>
      </c>
      <c r="O23" s="6" t="n">
        <v>72</v>
      </c>
      <c r="P23" s="8" t="inlineStr">
        <is>
          <t>Av. Ejemplo 223 (DEMO) · supermarket 483 m</t>
        </is>
      </c>
      <c r="Q23" s="5" t="inlineStr">
        <is>
          <t>12 months min.</t>
        </is>
      </c>
      <c r="R23" s="5" t="inlineStr">
        <is>
          <t>2 months deposit</t>
        </is>
      </c>
      <c r="S23" s="8" t="inlineStr">
        <is>
          <t>low estimated noise (72/100); furnished; building security/controlled access</t>
        </is>
      </c>
      <c r="T23" s="8" t="inlineStr">
        <is>
          <t>rent + maintenance ≈ USD 1,064 (USD 960 rent + S/ 350 maintenance) exceeds USD 1,000</t>
        </is>
      </c>
      <c r="U23" s="5" t="inlineStr">
        <is>
          <t>Adondevivir</t>
        </is>
      </c>
      <c r="V23" s="10" t="inlineStr">
        <is>
          <t>View listing</t>
        </is>
      </c>
      <c r="W23" s="5" t="inlineStr">
        <is>
          <t>—</t>
        </is>
      </c>
      <c r="X23" s="10" t="inlineStr">
        <is>
          <t>Open map</t>
        </is>
      </c>
      <c r="Y23" s="5" t="inlineStr">
        <is>
          <t>PROGRAMMATIC_PASS</t>
        </is>
      </c>
    </row>
    <row r="24">
      <c r="A24" s="5" t="inlineStr">
        <is>
          <t>ALTERNATIVE</t>
        </is>
      </c>
      <c r="B24" s="6" t="n">
        <v>20</v>
      </c>
      <c r="C24" s="7" t="n">
        <v>58</v>
      </c>
      <c r="D24" s="8" t="inlineStr">
        <is>
          <t>1BR · 39 m² — Av. Ejemplo 220 (DEMO)</t>
        </is>
      </c>
      <c r="E24" s="9" t="n">
        <v>812.41</v>
      </c>
      <c r="F24" s="5" t="inlineStr">
        <is>
          <t>S/ 350 (≈ USD 103)</t>
        </is>
      </c>
      <c r="G24" s="9" t="n">
        <v>915.8099999999999</v>
      </c>
      <c r="H24" s="6" t="n">
        <v>1</v>
      </c>
      <c r="I24" s="6" t="n">
        <v>39</v>
      </c>
      <c r="J24" s="7" t="n">
        <v>20.83</v>
      </c>
      <c r="K24" s="5" t="inlineStr">
        <is>
          <t>Yes</t>
        </is>
      </c>
      <c r="L24" s="5" t="inlineStr">
        <is>
          <t>Yes (1)</t>
        </is>
      </c>
      <c r="M24" s="5" t="n">
        <v>1</v>
      </c>
      <c r="N24" s="5" t="inlineStr">
        <is>
          <t>MEDIUM · conf. low</t>
        </is>
      </c>
      <c r="O24" s="6" t="n">
        <v>57</v>
      </c>
      <c r="P24" s="8" t="inlineStr">
        <is>
          <t>Av. Ejemplo 220 (DEMO)</t>
        </is>
      </c>
      <c r="Q24" s="5" t="inlineStr">
        <is>
          <t>UNKNOWN</t>
        </is>
      </c>
      <c r="R24" s="5" t="inlineStr">
        <is>
          <t>UNKNOWN</t>
        </is>
      </c>
      <c r="S24" s="8" t="inlineStr">
        <is>
          <t>furnished; balcony/terrace</t>
        </is>
      </c>
      <c r="T24" s="8" t="inlineStr">
        <is>
          <t>portal shows an approximate location only</t>
        </is>
      </c>
      <c r="U24" s="5" t="inlineStr">
        <is>
          <t>Urbania</t>
        </is>
      </c>
      <c r="V24" s="10" t="inlineStr">
        <is>
          <t>View listing</t>
        </is>
      </c>
      <c r="W24" s="5" t="inlineStr">
        <is>
          <t>—</t>
        </is>
      </c>
      <c r="X24" s="10" t="inlineStr">
        <is>
          <t>Open map</t>
        </is>
      </c>
      <c r="Y24" s="5" t="inlineStr">
        <is>
          <t>PROGRAMMATIC_PASS</t>
        </is>
      </c>
    </row>
    <row r="25">
      <c r="A25" s="5" t="inlineStr">
        <is>
          <t>ALTERNATIVE</t>
        </is>
      </c>
      <c r="B25" s="6" t="n">
        <v>21</v>
      </c>
      <c r="C25" s="7" t="n">
        <v>57.5</v>
      </c>
      <c r="D25" s="8" t="inlineStr">
        <is>
          <t>1BR · 40 m² — Av. Ejemplo 208 (DEMO)</t>
        </is>
      </c>
      <c r="E25" s="9" t="n">
        <v>841.95</v>
      </c>
      <c r="F25" s="5" t="inlineStr">
        <is>
          <t>S/ 500 (≈ USD 148)</t>
        </is>
      </c>
      <c r="G25" s="9" t="n">
        <v>989.66</v>
      </c>
      <c r="H25" s="6" t="n">
        <v>1</v>
      </c>
      <c r="I25" s="6" t="n">
        <v>40</v>
      </c>
      <c r="J25" s="7" t="n">
        <v>21.05</v>
      </c>
      <c r="K25" s="5" t="inlineStr">
        <is>
          <t>Semi</t>
        </is>
      </c>
      <c r="L25" s="5" t="inlineStr">
        <is>
          <t>No</t>
        </is>
      </c>
      <c r="M25" s="5" t="inlineStr">
        <is>
          <t>UNKNOWN</t>
        </is>
      </c>
      <c r="N25" s="8" t="inlineStr">
        <is>
          <t>MEDIUM · conf. high</t>
        </is>
      </c>
      <c r="O25" s="6" t="n">
        <v>60</v>
      </c>
      <c r="P25" s="8" t="inlineStr">
        <is>
          <t>Av. Ejemplo 208 (DEMO) · park 279 m</t>
        </is>
      </c>
      <c r="Q25" s="5" t="inlineStr">
        <is>
          <t>UNKNOWN</t>
        </is>
      </c>
      <c r="R25" s="5" t="inlineStr">
        <is>
          <t>UNKNOWN</t>
        </is>
      </c>
      <c r="S25" s="8" t="inlineStr">
        <is>
          <t>building security/controlled access</t>
        </is>
      </c>
      <c r="T25" s="8" t="inlineStr">
        <is>
          <t>listing says the unit faces an avenue</t>
        </is>
      </c>
      <c r="U25" s="5" t="inlineStr">
        <is>
          <t>Urbania</t>
        </is>
      </c>
      <c r="V25" s="10" t="inlineStr">
        <is>
          <t>View listing</t>
        </is>
      </c>
      <c r="W25" s="5" t="inlineStr">
        <is>
          <t>—</t>
        </is>
      </c>
      <c r="X25" s="10" t="inlineStr">
        <is>
          <t>Open map</t>
        </is>
      </c>
      <c r="Y25" s="5" t="inlineStr">
        <is>
          <t>PROGRAMMATIC_PASS</t>
        </is>
      </c>
    </row>
    <row r="26">
      <c r="A26" s="5" t="inlineStr">
        <is>
          <t>ALTERNATIVE</t>
        </is>
      </c>
      <c r="B26" s="6" t="n">
        <v>22</v>
      </c>
      <c r="C26" s="7" t="n">
        <v>52.1</v>
      </c>
      <c r="D26" s="8" t="inlineStr">
        <is>
          <t>2BR · 64 m² — Av. Ejemplo 214 (DEMO)</t>
        </is>
      </c>
      <c r="E26" s="9" t="n">
        <v>974.89</v>
      </c>
      <c r="F26" s="5" t="inlineStr">
        <is>
          <t>S/ 420 (≈ USD 124)</t>
        </is>
      </c>
      <c r="G26" s="9" t="n">
        <v>1098.97</v>
      </c>
      <c r="H26" s="6" t="n">
        <v>2</v>
      </c>
      <c r="I26" s="6" t="n">
        <v>64</v>
      </c>
      <c r="J26" s="7" t="n">
        <v>15.23</v>
      </c>
      <c r="K26" s="5" t="inlineStr">
        <is>
          <t>No</t>
        </is>
      </c>
      <c r="L26" s="5" t="inlineStr">
        <is>
          <t>No</t>
        </is>
      </c>
      <c r="M26" s="5" t="inlineStr">
        <is>
          <t>UNKNOWN</t>
        </is>
      </c>
      <c r="N26" s="5" t="inlineStr">
        <is>
          <t>MEDIUM · conf. low</t>
        </is>
      </c>
      <c r="O26" s="6" t="n">
        <v>60</v>
      </c>
      <c r="P26" s="8" t="inlineStr">
        <is>
          <t>Av. Ejemplo 214 (DEMO) · park 108 m, Malecón 251 m</t>
        </is>
      </c>
      <c r="Q26" s="5" t="inlineStr">
        <is>
          <t>UNKNOWN</t>
        </is>
      </c>
      <c r="R26" s="5" t="inlineStr">
        <is>
          <t>UNKNOWN</t>
        </is>
      </c>
      <c r="S26" s="8" t="inlineStr">
        <is>
          <t>building security/controlled access</t>
        </is>
      </c>
      <c r="T26" s="8" t="inlineStr">
        <is>
          <t>listing says the unit faces an avenue</t>
        </is>
      </c>
      <c r="U26" s="5" t="inlineStr">
        <is>
          <t>Urbania</t>
        </is>
      </c>
      <c r="V26" s="10" t="inlineStr">
        <is>
          <t>View listing</t>
        </is>
      </c>
      <c r="W26" s="5" t="inlineStr">
        <is>
          <t>—</t>
        </is>
      </c>
      <c r="X26" s="10" t="inlineStr">
        <is>
          <t>Open map</t>
        </is>
      </c>
      <c r="Y26" s="5" t="inlineStr">
        <is>
          <t>PROGRAMMATIC_PASS</t>
        </is>
      </c>
    </row>
    <row r="27">
      <c r="A27" s="5" t="inlineStr">
        <is>
          <t>ALTERNATIVE</t>
        </is>
      </c>
      <c r="B27" s="6" t="n">
        <v>23</v>
      </c>
      <c r="C27" s="7" t="n">
        <v>65.90000000000001</v>
      </c>
      <c r="D27" s="8" t="inlineStr">
        <is>
          <t>1BR · 62 m² — Calle Ejemplo 118 (DEMO)</t>
        </is>
      </c>
      <c r="E27" s="9" t="n">
        <v>790</v>
      </c>
      <c r="F27" s="5" t="inlineStr">
        <is>
          <t>S/ 300 (≈ USD 89)</t>
        </is>
      </c>
      <c r="G27" s="9" t="n">
        <v>878.63</v>
      </c>
      <c r="H27" s="6" t="n">
        <v>1</v>
      </c>
      <c r="I27" s="6" t="n">
        <v>62</v>
      </c>
      <c r="J27" s="7" t="n">
        <v>12.74</v>
      </c>
      <c r="K27" s="5" t="inlineStr">
        <is>
          <t>Yes</t>
        </is>
      </c>
      <c r="L27" s="5" t="inlineStr">
        <is>
          <t>UNKNOWN</t>
        </is>
      </c>
      <c r="M27" s="5" t="inlineStr">
        <is>
          <t>UNKNOWN</t>
        </is>
      </c>
      <c r="N27" s="5" t="inlineStr">
        <is>
          <t>HIGH · conf. high</t>
        </is>
      </c>
      <c r="O27" s="6" t="n">
        <v>28</v>
      </c>
      <c r="P27" s="8" t="inlineStr">
        <is>
          <t>Calle Ejemplo 118 (DEMO) · bus/Metropolitano stop 129 m</t>
        </is>
      </c>
      <c r="Q27" s="5" t="inlineStr">
        <is>
          <t>UNKNOWN</t>
        </is>
      </c>
      <c r="R27" s="5" t="inlineStr">
        <is>
          <t>UNKNOWN</t>
        </is>
      </c>
      <c r="S27" s="8" t="inlineStr">
        <is>
          <t>62 m² built area — very spacious for a 1-bedroom; USD 12.7/m² (excellent value vs other 1BR in sample); furnished</t>
        </is>
      </c>
      <c r="T27" s="8" t="inlineStr">
        <is>
          <t>high estimated noise: 61 m from Av. Demo Arterial (DEMO) (major road)</t>
        </is>
      </c>
      <c r="U27" s="5" t="inlineStr">
        <is>
          <t>Urbania</t>
        </is>
      </c>
      <c r="V27" s="10" t="inlineStr">
        <is>
          <t>View listing</t>
        </is>
      </c>
      <c r="W27" s="5" t="inlineStr">
        <is>
          <t>—</t>
        </is>
      </c>
      <c r="X27" s="10" t="inlineStr">
        <is>
          <t>Open map</t>
        </is>
      </c>
      <c r="Y27" s="5" t="inlineStr">
        <is>
          <t>PROGRAMMATIC_PASS</t>
        </is>
      </c>
    </row>
    <row r="28">
      <c r="A28" s="5" t="inlineStr">
        <is>
          <t>ALTERNATIVE</t>
        </is>
      </c>
      <c r="B28" s="6" t="n">
        <v>24</v>
      </c>
      <c r="C28" s="7" t="n">
        <v>64.3</v>
      </c>
      <c r="D28" s="8" t="inlineStr">
        <is>
          <t>1BR · 66 m² — Av. Ejemplo 204 (DEMO)</t>
        </is>
      </c>
      <c r="E28" s="9" t="n">
        <v>679.47</v>
      </c>
      <c r="F28" s="5" t="inlineStr">
        <is>
          <t>S/ 420 (≈ USD 124)</t>
        </is>
      </c>
      <c r="G28" s="9" t="n">
        <v>803.55</v>
      </c>
      <c r="H28" s="6" t="n">
        <v>1</v>
      </c>
      <c r="I28" s="6" t="n">
        <v>66</v>
      </c>
      <c r="J28" s="7" t="n">
        <v>10.29</v>
      </c>
      <c r="K28" s="5" t="inlineStr">
        <is>
          <t>Yes</t>
        </is>
      </c>
      <c r="L28" s="5" t="inlineStr">
        <is>
          <t>No</t>
        </is>
      </c>
      <c r="M28" s="5" t="inlineStr">
        <is>
          <t>UNKNOWN</t>
        </is>
      </c>
      <c r="N28" s="5" t="inlineStr">
        <is>
          <t>HIGH · conf. high</t>
        </is>
      </c>
      <c r="O28" s="6" t="n">
        <v>24</v>
      </c>
      <c r="P28" s="8" t="inlineStr">
        <is>
          <t>Av. Ejemplo 204 (DEMO) · bus/Metropolitano stop 184 m</t>
        </is>
      </c>
      <c r="Q28" s="5" t="inlineStr">
        <is>
          <t>12 months min.</t>
        </is>
      </c>
      <c r="R28" s="8" t="inlineStr">
        <is>
          <t>2 months deposit; 1 in advance</t>
        </is>
      </c>
      <c r="S28" s="8" t="inlineStr">
        <is>
          <t>66 m² built area — very spacious for a 1-bedroom; interior-facing; acoustic/double-glazed windows</t>
        </is>
      </c>
      <c r="T28" s="8" t="inlineStr">
        <is>
          <t>high estimated noise: 48 m from Av. Demo Arterial (DEMO) (major road)</t>
        </is>
      </c>
      <c r="U28" s="5" t="inlineStr">
        <is>
          <t>Urbania</t>
        </is>
      </c>
      <c r="V28" s="10" t="inlineStr">
        <is>
          <t>View listing</t>
        </is>
      </c>
      <c r="W28" s="5" t="inlineStr">
        <is>
          <t>—</t>
        </is>
      </c>
      <c r="X28" s="10" t="inlineStr">
        <is>
          <t>Open map</t>
        </is>
      </c>
      <c r="Y28" s="5" t="inlineStr">
        <is>
          <t>PROGRAMMATIC_PASS</t>
        </is>
      </c>
    </row>
    <row r="29">
      <c r="A29" s="5" t="inlineStr">
        <is>
          <t>ALTERNATIVE</t>
        </is>
      </c>
      <c r="B29" s="6" t="n">
        <v>25</v>
      </c>
      <c r="C29" s="7" t="n">
        <v>56.5</v>
      </c>
      <c r="D29" s="8" t="inlineStr">
        <is>
          <t>2BR · 93 m² — Calle Ejemplo 133 (DEMO)</t>
        </is>
      </c>
      <c r="E29" s="9" t="n">
        <v>960</v>
      </c>
      <c r="F29" s="5" t="inlineStr">
        <is>
          <t>S/ 420 (≈ USD 124)</t>
        </is>
      </c>
      <c r="G29" s="9" t="n">
        <v>1084.08</v>
      </c>
      <c r="H29" s="6" t="n">
        <v>2</v>
      </c>
      <c r="I29" s="6" t="n">
        <v>93</v>
      </c>
      <c r="J29" s="7" t="n">
        <v>10.32</v>
      </c>
      <c r="K29" s="5" t="inlineStr">
        <is>
          <t>Yes</t>
        </is>
      </c>
      <c r="L29" s="5" t="inlineStr">
        <is>
          <t>UNKNOWN</t>
        </is>
      </c>
      <c r="M29" s="5" t="inlineStr">
        <is>
          <t>UNKNOWN</t>
        </is>
      </c>
      <c r="N29" s="5" t="inlineStr">
        <is>
          <t>HIGH · conf. high</t>
        </is>
      </c>
      <c r="O29" s="6" t="n">
        <v>22</v>
      </c>
      <c r="P29" s="8" t="inlineStr">
        <is>
          <t>Calle Ejemplo 133 (DEMO) · bus/Metropolitano stop 207 m</t>
        </is>
      </c>
      <c r="Q29" s="5" t="inlineStr">
        <is>
          <t>12 months min.</t>
        </is>
      </c>
      <c r="R29" s="5" t="inlineStr">
        <is>
          <t>2 months deposit</t>
        </is>
      </c>
      <c r="S29" s="8" t="inlineStr">
        <is>
          <t>93 m² built area — very spacious for a 2-bedroom; USD 10.3/m² (good value vs other 2BR in sample); furnished</t>
        </is>
      </c>
      <c r="T29" s="8" t="inlineStr">
        <is>
          <t>high estimated noise: 95 m from Av. Demo Arterial (DEMO) (major road)</t>
        </is>
      </c>
      <c r="U29" s="5" t="inlineStr">
        <is>
          <t>Adondevivir</t>
        </is>
      </c>
      <c r="V29" s="10" t="inlineStr">
        <is>
          <t>View listing</t>
        </is>
      </c>
      <c r="W29" s="5" t="inlineStr">
        <is>
          <t>—</t>
        </is>
      </c>
      <c r="X29" s="10" t="inlineStr">
        <is>
          <t>Open map</t>
        </is>
      </c>
      <c r="Y29" s="5" t="inlineStr">
        <is>
          <t>PROGRAMMATIC_PASS</t>
        </is>
      </c>
    </row>
    <row r="30">
      <c r="A30" s="5" t="inlineStr">
        <is>
          <t>ALTERNATIVE</t>
        </is>
      </c>
      <c r="B30" s="6" t="n">
        <v>26</v>
      </c>
      <c r="C30" s="7" t="n">
        <v>44.1</v>
      </c>
      <c r="D30" s="8" t="inlineStr">
        <is>
          <t>1BR · 50 m² — Av. Ejemplo 232 (DEMO)</t>
        </is>
      </c>
      <c r="E30" s="9" t="n">
        <v>989.66</v>
      </c>
      <c r="F30" s="5" t="inlineStr">
        <is>
          <t>UNKNOWN</t>
        </is>
      </c>
      <c r="G30" s="5" t="inlineStr">
        <is>
          <t>UNKNOWN</t>
        </is>
      </c>
      <c r="H30" s="6" t="n">
        <v>1</v>
      </c>
      <c r="I30" s="6" t="n">
        <v>50</v>
      </c>
      <c r="J30" s="7" t="n">
        <v>19.79</v>
      </c>
      <c r="K30" s="5" t="inlineStr">
        <is>
          <t>UNKNOWN</t>
        </is>
      </c>
      <c r="L30" s="5" t="inlineStr">
        <is>
          <t>Yes (1)</t>
        </is>
      </c>
      <c r="M30" s="5" t="inlineStr">
        <is>
          <t>UNKNOWN</t>
        </is>
      </c>
      <c r="N30" s="5" t="inlineStr">
        <is>
          <t>HIGH · conf. high</t>
        </is>
      </c>
      <c r="O30" s="6" t="n">
        <v>0</v>
      </c>
      <c r="P30" s="8" t="inlineStr">
        <is>
          <t>Av. Ejemplo 232 (DEMO) · bus/Metropolitano stop 45 m</t>
        </is>
      </c>
      <c r="Q30" s="5" t="inlineStr">
        <is>
          <t>UNKNOWN</t>
        </is>
      </c>
      <c r="R30" s="5" t="inlineStr">
        <is>
          <t>UNKNOWN</t>
        </is>
      </c>
      <c r="S30" s="8" t="inlineStr">
        <is>
          <t>50 m² built area — good for a 1-bedroom; building security/controlled access</t>
        </is>
      </c>
      <c r="T30" s="8" t="inlineStr">
        <is>
          <t>high estimated noise: 7 m from Av. Demo Arterial (DEMO) (major road)</t>
        </is>
      </c>
      <c r="U30" s="5" t="inlineStr">
        <is>
          <t>Urbania</t>
        </is>
      </c>
      <c r="V30" s="10" t="inlineStr">
        <is>
          <t>View listing</t>
        </is>
      </c>
      <c r="W30" s="5" t="inlineStr">
        <is>
          <t>—</t>
        </is>
      </c>
      <c r="X30" s="10" t="inlineStr">
        <is>
          <t>Open map</t>
        </is>
      </c>
      <c r="Y30" s="5" t="inlineStr">
        <is>
          <t>PROGRAMMATIC_PASS</t>
        </is>
      </c>
    </row>
  </sheetData>
  <autoFilter ref="A4:Y30"/>
  <conditionalFormatting sqref="A5:Y30">
    <cfRule type="cellIs" priority="1" operator="equal" dxfId="0">
      <formula>"UNKNOWN"</formula>
    </cfRule>
    <cfRule type="expression" priority="2" dxfId="1" stopIfTrue="0">
      <formula>AND($A5="TOP 10",$B5&lt;=5)</formula>
    </cfRule>
    <cfRule type="expression" priority="9" dxfId="2">
      <formula>MOD(ROW(),2)=0</formula>
    </cfRule>
  </conditionalFormatting>
  <conditionalFormatting sqref="N5:N30">
    <cfRule type="expression" priority="3" dxfId="3" stopIfTrue="1">
      <formula>LEFT(N5,3)="LOW"</formula>
    </cfRule>
    <cfRule type="expression" priority="4" dxfId="4" stopIfTrue="1">
      <formula>LEFT(N5,6)="MEDIUM"</formula>
    </cfRule>
    <cfRule type="expression" priority="5" dxfId="5" stopIfTrue="1">
      <formula>LEFT(N5,4)="HIGH"</formula>
    </cfRule>
  </conditionalFormatting>
  <conditionalFormatting sqref="G5:G30">
    <cfRule type="cellIs" priority="6" operator="greaterThan" dxfId="6" stopIfTrue="1">
      <formula>1000</formula>
    </cfRule>
  </conditionalFormatting>
  <conditionalFormatting sqref="E5:E30">
    <cfRule type="cellIs" priority="7" operator="greaterThan" dxfId="6" stopIfTrue="1">
      <formula>1000</formula>
    </cfRule>
  </conditionalFormatting>
  <conditionalFormatting sqref="C5:C30">
    <cfRule type="cellIs" priority="8" operator="greaterThanOrEqual" dxfId="7">
      <formula>75</formula>
    </cfRule>
  </conditionalFormatting>
  <hyperlinks>
    <hyperlink xmlns:r="http://schemas.openxmlformats.org/officeDocument/2006/relationships" ref="V5" r:id="rId1"/>
    <hyperlink xmlns:r="http://schemas.openxmlformats.org/officeDocument/2006/relationships" ref="X5" r:id="rId2"/>
    <hyperlink xmlns:r="http://schemas.openxmlformats.org/officeDocument/2006/relationships" ref="V6" r:id="rId3"/>
    <hyperlink xmlns:r="http://schemas.openxmlformats.org/officeDocument/2006/relationships" ref="X6" r:id="rId4"/>
    <hyperlink xmlns:r="http://schemas.openxmlformats.org/officeDocument/2006/relationships" ref="V7" r:id="rId5"/>
    <hyperlink xmlns:r="http://schemas.openxmlformats.org/officeDocument/2006/relationships" ref="X7" r:id="rId6"/>
    <hyperlink xmlns:r="http://schemas.openxmlformats.org/officeDocument/2006/relationships" ref="V8" r:id="rId7"/>
    <hyperlink xmlns:r="http://schemas.openxmlformats.org/officeDocument/2006/relationships" ref="X8" r:id="rId8"/>
    <hyperlink xmlns:r="http://schemas.openxmlformats.org/officeDocument/2006/relationships" ref="V9" r:id="rId9"/>
    <hyperlink xmlns:r="http://schemas.openxmlformats.org/officeDocument/2006/relationships" ref="X9" r:id="rId10"/>
    <hyperlink xmlns:r="http://schemas.openxmlformats.org/officeDocument/2006/relationships" ref="V10" r:id="rId11"/>
    <hyperlink xmlns:r="http://schemas.openxmlformats.org/officeDocument/2006/relationships" ref="X10" r:id="rId12"/>
    <hyperlink xmlns:r="http://schemas.openxmlformats.org/officeDocument/2006/relationships" ref="V11" r:id="rId13"/>
    <hyperlink xmlns:r="http://schemas.openxmlformats.org/officeDocument/2006/relationships" ref="X11" r:id="rId14"/>
    <hyperlink xmlns:r="http://schemas.openxmlformats.org/officeDocument/2006/relationships" ref="V12" r:id="rId15"/>
    <hyperlink xmlns:r="http://schemas.openxmlformats.org/officeDocument/2006/relationships" ref="X12" r:id="rId16"/>
    <hyperlink xmlns:r="http://schemas.openxmlformats.org/officeDocument/2006/relationships" ref="V13" r:id="rId17"/>
    <hyperlink xmlns:r="http://schemas.openxmlformats.org/officeDocument/2006/relationships" ref="X13" r:id="rId18"/>
    <hyperlink xmlns:r="http://schemas.openxmlformats.org/officeDocument/2006/relationships" ref="V14" r:id="rId19"/>
    <hyperlink xmlns:r="http://schemas.openxmlformats.org/officeDocument/2006/relationships" ref="X14" r:id="rId20"/>
    <hyperlink xmlns:r="http://schemas.openxmlformats.org/officeDocument/2006/relationships" ref="V15" r:id="rId21"/>
    <hyperlink xmlns:r="http://schemas.openxmlformats.org/officeDocument/2006/relationships" ref="X15" r:id="rId22"/>
    <hyperlink xmlns:r="http://schemas.openxmlformats.org/officeDocument/2006/relationships" ref="V16" r:id="rId23"/>
    <hyperlink xmlns:r="http://schemas.openxmlformats.org/officeDocument/2006/relationships" ref="X16" r:id="rId24"/>
    <hyperlink xmlns:r="http://schemas.openxmlformats.org/officeDocument/2006/relationships" ref="V17" r:id="rId25"/>
    <hyperlink xmlns:r="http://schemas.openxmlformats.org/officeDocument/2006/relationships" ref="X17" r:id="rId26"/>
    <hyperlink xmlns:r="http://schemas.openxmlformats.org/officeDocument/2006/relationships" ref="V18" r:id="rId27"/>
    <hyperlink xmlns:r="http://schemas.openxmlformats.org/officeDocument/2006/relationships" ref="X18" r:id="rId28"/>
    <hyperlink xmlns:r="http://schemas.openxmlformats.org/officeDocument/2006/relationships" ref="V19" r:id="rId29"/>
    <hyperlink xmlns:r="http://schemas.openxmlformats.org/officeDocument/2006/relationships" ref="X19" r:id="rId30"/>
    <hyperlink xmlns:r="http://schemas.openxmlformats.org/officeDocument/2006/relationships" ref="V20" r:id="rId31"/>
    <hyperlink xmlns:r="http://schemas.openxmlformats.org/officeDocument/2006/relationships" ref="X20" r:id="rId32"/>
    <hyperlink xmlns:r="http://schemas.openxmlformats.org/officeDocument/2006/relationships" ref="V21" r:id="rId33"/>
    <hyperlink xmlns:r="http://schemas.openxmlformats.org/officeDocument/2006/relationships" ref="X21" r:id="rId34"/>
    <hyperlink xmlns:r="http://schemas.openxmlformats.org/officeDocument/2006/relationships" ref="V22" r:id="rId35"/>
    <hyperlink xmlns:r="http://schemas.openxmlformats.org/officeDocument/2006/relationships" ref="X22" r:id="rId36"/>
    <hyperlink xmlns:r="http://schemas.openxmlformats.org/officeDocument/2006/relationships" ref="V23" r:id="rId37"/>
    <hyperlink xmlns:r="http://schemas.openxmlformats.org/officeDocument/2006/relationships" ref="X23" r:id="rId38"/>
    <hyperlink xmlns:r="http://schemas.openxmlformats.org/officeDocument/2006/relationships" ref="V24" r:id="rId39"/>
    <hyperlink xmlns:r="http://schemas.openxmlformats.org/officeDocument/2006/relationships" ref="X24" r:id="rId40"/>
    <hyperlink xmlns:r="http://schemas.openxmlformats.org/officeDocument/2006/relationships" ref="V25" r:id="rId41"/>
    <hyperlink xmlns:r="http://schemas.openxmlformats.org/officeDocument/2006/relationships" ref="X25" r:id="rId42"/>
    <hyperlink xmlns:r="http://schemas.openxmlformats.org/officeDocument/2006/relationships" ref="V26" r:id="rId43"/>
    <hyperlink xmlns:r="http://schemas.openxmlformats.org/officeDocument/2006/relationships" ref="X26" r:id="rId44"/>
    <hyperlink xmlns:r="http://schemas.openxmlformats.org/officeDocument/2006/relationships" ref="V27" r:id="rId45"/>
    <hyperlink xmlns:r="http://schemas.openxmlformats.org/officeDocument/2006/relationships" ref="X27" r:id="rId46"/>
    <hyperlink xmlns:r="http://schemas.openxmlformats.org/officeDocument/2006/relationships" ref="V28" r:id="rId47"/>
    <hyperlink xmlns:r="http://schemas.openxmlformats.org/officeDocument/2006/relationships" ref="X28" r:id="rId48"/>
    <hyperlink xmlns:r="http://schemas.openxmlformats.org/officeDocument/2006/relationships" ref="V29" r:id="rId49"/>
    <hyperlink xmlns:r="http://schemas.openxmlformats.org/officeDocument/2006/relationships" ref="X29" r:id="rId50"/>
    <hyperlink xmlns:r="http://schemas.openxmlformats.org/officeDocument/2006/relationships" ref="V30" r:id="rId51"/>
    <hyperlink xmlns:r="http://schemas.openxmlformats.org/officeDocument/2006/relationships" ref="X30" r:id="rId5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C30"/>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8" customWidth="1" min="13" max="13"/>
    <col width="8" customWidth="1" min="14" max="14"/>
    <col width="8" customWidth="1" min="15" max="15"/>
    <col width="8" customWidth="1" min="16" max="16"/>
    <col width="12" customWidth="1" min="17" max="17"/>
    <col width="8" customWidth="1" min="18" max="18"/>
    <col width="18" customWidth="1" min="19" max="19"/>
    <col width="10" customWidth="1" min="20" max="20"/>
    <col width="9" customWidth="1" min="21" max="21"/>
    <col width="7" customWidth="1" min="22" max="22"/>
    <col width="9" customWidth="1" min="23" max="23"/>
    <col width="8" customWidth="1" min="24" max="24"/>
    <col width="8" customWidth="1" min="25" max="25"/>
    <col width="8" customWidth="1" min="26" max="26"/>
    <col width="7" customWidth="1" min="27" max="27"/>
    <col width="8" customWidth="1" min="28" max="28"/>
    <col width="14" customWidth="1" min="29" max="29"/>
    <col width="9" customWidth="1" min="30" max="30"/>
    <col width="50" customWidth="1" min="31" max="31"/>
    <col width="10" customWidth="1" min="32" max="32"/>
    <col width="10" customWidth="1" min="33" max="33"/>
    <col width="8" customWidth="1" min="34" max="34"/>
    <col width="30" customWidth="1" min="35" max="35"/>
    <col width="12" customWidth="1" min="36" max="36"/>
    <col width="14" customWidth="1" min="37" max="37"/>
    <col width="14" customWidth="1" min="38" max="38"/>
    <col width="11" customWidth="1" min="39" max="39"/>
    <col width="14" customWidth="1" min="40" max="40"/>
    <col width="40" customWidth="1" min="41" max="41"/>
    <col width="36" customWidth="1" min="42" max="42"/>
    <col width="40" customWidth="1" min="43" max="43"/>
    <col width="20" customWidth="1" min="44" max="44"/>
    <col width="14" customWidth="1" min="45" max="45"/>
    <col width="14" customWidth="1" min="46" max="46"/>
    <col width="7" customWidth="1" min="47" max="47"/>
    <col width="9" customWidth="1" min="48" max="48"/>
    <col width="24" customWidth="1" min="49" max="49"/>
    <col width="12" customWidth="1" min="50" max="50"/>
    <col width="14" customWidth="1" min="51" max="51"/>
    <col width="10" customWidth="1" min="52" max="52"/>
    <col width="16" customWidth="1" min="53" max="53"/>
    <col width="18" customWidth="1" min="54" max="54"/>
    <col width="30" customWidth="1" min="55" max="55"/>
  </cols>
  <sheetData>
    <row r="1">
      <c r="A1" s="1" t="inlineStr">
        <is>
          <t>All budget-compliant Miraflores matches</t>
        </is>
      </c>
    </row>
    <row r="2">
      <c r="A2" s="2" t="inlineStr">
        <is>
          <t>Generated 2026-09-24T17:45:37-05:00 · FX 1 USD = S/ 3.385 (fallback)</t>
        </is>
      </c>
    </row>
    <row r="3">
      <c r="A3" s="3" t="inlineStr">
        <is>
          <t>SYNTHETIC DEMO DATA — FORMAT PREVIEW ONLY — THESE ARE NOT REAL LISTINGS</t>
        </is>
      </c>
    </row>
    <row r="4" ht="30" customHeight="1">
      <c r="A4" s="4" t="inlineStr">
        <is>
          <t>Rank</t>
        </is>
      </c>
      <c r="B4" s="4" t="inlineStr">
        <is>
          <t>Fit Score</t>
        </is>
      </c>
      <c r="C4" s="4" t="inlineStr">
        <is>
          <t>Property</t>
        </is>
      </c>
      <c r="D4" s="4" t="inlineStr">
        <is>
          <t>Category</t>
        </is>
      </c>
      <c r="E4" s="4" t="inlineStr">
        <is>
          <t>Why in this sheet</t>
        </is>
      </c>
      <c r="F4" s="4" t="inlineStr">
        <is>
          <t>Monthly Rent USD</t>
        </is>
      </c>
      <c r="G4" s="4" t="inlineStr">
        <is>
          <t>Rent as published</t>
        </is>
      </c>
      <c r="H4" s="4" t="inlineStr">
        <is>
          <t>Rent USD basis</t>
        </is>
      </c>
      <c r="I4" s="4" t="inlineStr">
        <is>
          <t>Rent PEN</t>
        </is>
      </c>
      <c r="J4" s="4" t="inlineStr">
        <is>
          <t>Maintenance</t>
        </is>
      </c>
      <c r="K4" s="4" t="inlineStr">
        <is>
          <t>Maintenance basis</t>
        </is>
      </c>
      <c r="L4" s="4" t="inlineStr">
        <is>
          <t>Estimated Total USD</t>
        </is>
      </c>
      <c r="M4" s="4" t="inlineStr">
        <is>
          <t>Bedrooms</t>
        </is>
      </c>
      <c r="N4" s="4" t="inlineStr">
        <is>
          <t>Bathrooms</t>
        </is>
      </c>
      <c r="O4" s="4" t="inlineStr">
        <is>
          <t>Area m²</t>
        </is>
      </c>
      <c r="P4" s="4" t="inlineStr">
        <is>
          <t>Area basis</t>
        </is>
      </c>
      <c r="Q4" s="4" t="inlineStr">
        <is>
          <t>Space band</t>
        </is>
      </c>
      <c r="R4" s="4" t="inlineStr">
        <is>
          <t>USD/m²</t>
        </is>
      </c>
      <c r="S4" s="4" t="inlineStr">
        <is>
          <t>Value band</t>
        </is>
      </c>
      <c r="T4" s="4" t="inlineStr">
        <is>
          <t>Furnished</t>
        </is>
      </c>
      <c r="U4" s="4" t="inlineStr">
        <is>
          <t>Parking</t>
        </is>
      </c>
      <c r="V4" s="4" t="inlineStr">
        <is>
          <t>Floor</t>
        </is>
      </c>
      <c r="W4" s="4" t="inlineStr">
        <is>
          <t>Balcony/Terrace</t>
        </is>
      </c>
      <c r="X4" s="4" t="inlineStr">
        <is>
          <t>Laundry</t>
        </is>
      </c>
      <c r="Y4" s="4" t="inlineStr">
        <is>
          <t>Elevator</t>
        </is>
      </c>
      <c r="Z4" s="4" t="inlineStr">
        <is>
          <t>Security</t>
        </is>
      </c>
      <c r="AA4" s="4" t="inlineStr">
        <is>
          <t>Pets</t>
        </is>
      </c>
      <c r="AB4" s="4" t="inlineStr">
        <is>
          <t>Interior view</t>
        </is>
      </c>
      <c r="AC4" s="4" t="inlineStr">
        <is>
          <t>Noise Risk</t>
        </is>
      </c>
      <c r="AD4" s="4" t="inlineStr">
        <is>
          <t>Quietness Score</t>
        </is>
      </c>
      <c r="AE4" s="4" t="inlineStr">
        <is>
          <t>Quietness evidence</t>
        </is>
      </c>
      <c r="AF4" s="4" t="inlineStr">
        <is>
          <t>Nearest major road (m)</t>
        </is>
      </c>
      <c r="AG4" s="4" t="inlineStr">
        <is>
          <t>Nearest nightclub (m)</t>
        </is>
      </c>
      <c r="AH4" s="4" t="inlineStr">
        <is>
          <t>Bars ≤150 m</t>
        </is>
      </c>
      <c r="AI4" s="4" t="inlineStr">
        <is>
          <t>Daily needs nearby</t>
        </is>
      </c>
      <c r="AJ4" s="4" t="inlineStr">
        <is>
          <t>Contract</t>
        </is>
      </c>
      <c r="AK4" s="4" t="inlineStr">
        <is>
          <t>Deposit</t>
        </is>
      </c>
      <c r="AL4" s="4" t="inlineStr">
        <is>
          <t>Utilities included</t>
        </is>
      </c>
      <c r="AM4" s="4" t="inlineStr">
        <is>
          <t>Published</t>
        </is>
      </c>
      <c r="AN4" s="4" t="inlineStr">
        <is>
          <t>Active status</t>
        </is>
      </c>
      <c r="AO4" s="4" t="inlineStr">
        <is>
          <t>Main Advantage</t>
        </is>
      </c>
      <c r="AP4" s="4" t="inlineStr">
        <is>
          <t>Main Drawback</t>
        </is>
      </c>
      <c r="AQ4" s="4" t="inlineStr">
        <is>
          <t>Red flags</t>
        </is>
      </c>
      <c r="AR4" s="4" t="inlineStr">
        <is>
          <t>Agency / agent</t>
        </is>
      </c>
      <c r="AS4" s="4" t="inlineStr">
        <is>
          <t>Phone</t>
        </is>
      </c>
      <c r="AT4" s="4" t="inlineStr">
        <is>
          <t>Source</t>
        </is>
      </c>
      <c r="AU4" s="4" t="inlineStr">
        <is>
          <t># Sources</t>
        </is>
      </c>
      <c r="AV4" s="4" t="inlineStr">
        <is>
          <t>Duplicate group</t>
        </is>
      </c>
      <c r="AW4" s="4" t="inlineStr">
        <is>
          <t>Duplicate conflicts</t>
        </is>
      </c>
      <c r="AX4" s="4" t="inlineStr">
        <is>
          <t>View Listing</t>
        </is>
      </c>
      <c r="AY4" s="4" t="inlineStr">
        <is>
          <t>WhatsApp</t>
        </is>
      </c>
      <c r="AZ4" s="4" t="inlineStr">
        <is>
          <t>Map</t>
        </is>
      </c>
      <c r="BA4" s="4" t="inlineStr">
        <is>
          <t>Location source</t>
        </is>
      </c>
      <c r="BB4" s="4" t="inlineStr">
        <is>
          <t>QA Status</t>
        </is>
      </c>
      <c r="BC4" s="4" t="inlineStr">
        <is>
          <t>QA notes</t>
        </is>
      </c>
    </row>
    <row r="5">
      <c r="A5" s="6" t="n">
        <v>1</v>
      </c>
      <c r="B5" s="7" t="n">
        <v>79.8</v>
      </c>
      <c r="C5" s="8" t="inlineStr">
        <is>
          <t>2BR · 72 m² — Calle Ejemplo 109 (DEMO)</t>
        </is>
      </c>
      <c r="D5" s="5" t="inlineStr">
        <is>
          <t>PRIMARY</t>
        </is>
      </c>
      <c r="E5" s="5" t="inlineStr"/>
      <c r="F5" s="9" t="n">
        <v>860</v>
      </c>
      <c r="G5" s="5" t="inlineStr">
        <is>
          <t>USD 860</t>
        </is>
      </c>
      <c r="H5" s="5" t="inlineStr">
        <is>
          <t>PUBLISHED</t>
        </is>
      </c>
      <c r="I5" s="11" t="n">
        <v>2911.1</v>
      </c>
      <c r="J5" s="5" t="inlineStr">
        <is>
          <t>S/ 250 (≈ USD 74)</t>
        </is>
      </c>
      <c r="K5" s="5" t="inlineStr">
        <is>
          <t>PUBLISHED</t>
        </is>
      </c>
      <c r="L5" s="9" t="n">
        <v>933.86</v>
      </c>
      <c r="M5" s="6" t="n">
        <v>2</v>
      </c>
      <c r="N5" s="12" t="n">
        <v>1.5</v>
      </c>
      <c r="O5" s="6" t="n">
        <v>72</v>
      </c>
      <c r="P5" s="5" t="inlineStr">
        <is>
          <t>built</t>
        </is>
      </c>
      <c r="Q5" s="5" t="inlineStr">
        <is>
          <t>GOOD</t>
        </is>
      </c>
      <c r="R5" s="7" t="n">
        <v>11.94</v>
      </c>
      <c r="S5" s="5" t="inlineStr">
        <is>
          <t>GOOD_VALUE</t>
        </is>
      </c>
      <c r="T5" s="5" t="inlineStr">
        <is>
          <t>Semi</t>
        </is>
      </c>
      <c r="U5" s="5" t="inlineStr">
        <is>
          <t>UNKNOWN</t>
        </is>
      </c>
      <c r="V5" s="5" t="inlineStr">
        <is>
          <t>UNKNOWN</t>
        </is>
      </c>
      <c r="W5" s="5" t="inlineStr">
        <is>
          <t>UNKNOWN</t>
        </is>
      </c>
      <c r="X5" s="5" t="inlineStr">
        <is>
          <t>Yes</t>
        </is>
      </c>
      <c r="Y5" s="5" t="inlineStr">
        <is>
          <t>Yes</t>
        </is>
      </c>
      <c r="Z5" s="5" t="inlineStr">
        <is>
          <t>Yes</t>
        </is>
      </c>
      <c r="AA5" s="5" t="inlineStr">
        <is>
          <t>UNKNOWN</t>
        </is>
      </c>
      <c r="AB5" s="5" t="inlineStr">
        <is>
          <t>Yes</t>
        </is>
      </c>
      <c r="AC5" s="5" t="inlineStr">
        <is>
          <t>LOW · conf. high</t>
        </is>
      </c>
      <c r="AD5" s="6" t="n">
        <v>97</v>
      </c>
      <c r="AE5" s="8" t="inlineStr">
        <is>
          <t>Nearest major road (Av. Demo Arterial (DEMO)) 897 m away; no nightclub mapped within 500 m; listing says interior-facing / contrafrente; acoustic / double-glazed windows mentioned; seller describes the street as quiet (unverified claim). Quietness estimate: high confidence.</t>
        </is>
      </c>
      <c r="AF5" s="6" t="n">
        <v>897</v>
      </c>
      <c r="AG5" s="6" t="n">
        <v>1711</v>
      </c>
      <c r="AH5" s="6" t="n">
        <v>0</v>
      </c>
      <c r="AI5" s="8" t="inlineStr">
        <is>
          <t>supermarket 349 m, pharmacy 351 m</t>
        </is>
      </c>
      <c r="AJ5" s="5" t="inlineStr">
        <is>
          <t>12 months min.</t>
        </is>
      </c>
      <c r="AK5" s="8" t="inlineStr">
        <is>
          <t>2 months deposit; 1 in advance</t>
        </is>
      </c>
      <c r="AL5" s="5" t="inlineStr">
        <is>
          <t>UNKNOWN</t>
        </is>
      </c>
      <c r="AM5" s="5" t="inlineStr">
        <is>
          <t>2026-09-08</t>
        </is>
      </c>
      <c r="AN5" s="5" t="inlineStr">
        <is>
          <t>LIKELY_ACTIVE</t>
        </is>
      </c>
      <c r="AO5" s="8" t="inlineStr">
        <is>
          <t>72 m² built area — good for a 2-bedroom; low estimated noise (97/100); interior-facing</t>
        </is>
      </c>
      <c r="AP5" s="8" t="inlineStr">
        <is>
          <t>no major drawback identified from listing data</t>
        </is>
      </c>
      <c r="AQ5" s="5" t="inlineStr"/>
      <c r="AR5" s="8" t="inlineStr">
        <is>
          <t>DEMO Inmobiliaria E</t>
        </is>
      </c>
      <c r="AS5" s="5" t="inlineStr">
        <is>
          <t>+5110001009</t>
        </is>
      </c>
      <c r="AT5" s="5" t="inlineStr">
        <is>
          <t>Adondevivir</t>
        </is>
      </c>
      <c r="AU5" s="6" t="n">
        <v>1</v>
      </c>
      <c r="AV5" s="5" t="inlineStr">
        <is>
          <t>G0010</t>
        </is>
      </c>
      <c r="AW5" s="5" t="inlineStr"/>
      <c r="AX5" s="10" t="inlineStr">
        <is>
          <t>View listing</t>
        </is>
      </c>
      <c r="AY5" s="5" t="inlineStr">
        <is>
          <t>—</t>
        </is>
      </c>
      <c r="AZ5" s="10" t="inlineStr">
        <is>
          <t>Open map</t>
        </is>
      </c>
      <c r="BA5" s="5" t="inlineStr">
        <is>
          <t>LISTING / EXACT</t>
        </is>
      </c>
      <c r="BB5" s="5" t="inlineStr">
        <is>
          <t>PROGRAMMATIC_PASS</t>
        </is>
      </c>
      <c r="BC5" s="5" t="inlineStr"/>
    </row>
    <row r="6">
      <c r="A6" s="6" t="n">
        <v>2</v>
      </c>
      <c r="B6" s="7" t="n">
        <v>77.3</v>
      </c>
      <c r="C6" s="8" t="inlineStr">
        <is>
          <t>1BR · 58 m² — Calle Ejemplo 100 (DEMO)</t>
        </is>
      </c>
      <c r="D6" s="5" t="inlineStr">
        <is>
          <t>PRIMARY</t>
        </is>
      </c>
      <c r="E6" s="5" t="inlineStr"/>
      <c r="F6" s="9" t="n">
        <v>870</v>
      </c>
      <c r="G6" s="5" t="inlineStr">
        <is>
          <t>USD 870</t>
        </is>
      </c>
      <c r="H6" s="5" t="inlineStr">
        <is>
          <t>PUBLISHED</t>
        </is>
      </c>
      <c r="I6" s="11" t="n">
        <v>2944.95</v>
      </c>
      <c r="J6" s="5" t="inlineStr">
        <is>
          <t>S/ 420 (≈ USD 124)</t>
        </is>
      </c>
      <c r="K6" s="5" t="inlineStr">
        <is>
          <t>PUBLISHED</t>
        </is>
      </c>
      <c r="L6" s="9" t="n">
        <v>994.08</v>
      </c>
      <c r="M6" s="6" t="n">
        <v>1</v>
      </c>
      <c r="N6" s="12" t="n">
        <v>2</v>
      </c>
      <c r="O6" s="6" t="n">
        <v>58</v>
      </c>
      <c r="P6" s="5" t="inlineStr">
        <is>
          <t>built</t>
        </is>
      </c>
      <c r="Q6" s="5" t="inlineStr">
        <is>
          <t>GOOD</t>
        </is>
      </c>
      <c r="R6" s="7" t="n">
        <v>15</v>
      </c>
      <c r="S6" s="5" t="inlineStr">
        <is>
          <t>GOOD_VALUE</t>
        </is>
      </c>
      <c r="T6" s="5" t="inlineStr">
        <is>
          <t>Yes</t>
        </is>
      </c>
      <c r="U6" s="5" t="inlineStr">
        <is>
          <t>UNKNOWN</t>
        </is>
      </c>
      <c r="V6" s="5" t="n">
        <v>9</v>
      </c>
      <c r="W6" s="5" t="inlineStr">
        <is>
          <t>Yes</t>
        </is>
      </c>
      <c r="X6" s="5" t="inlineStr">
        <is>
          <t>UNKNOWN</t>
        </is>
      </c>
      <c r="Y6" s="5" t="inlineStr">
        <is>
          <t>Yes</t>
        </is>
      </c>
      <c r="Z6" s="5" t="inlineStr">
        <is>
          <t>Yes</t>
        </is>
      </c>
      <c r="AA6" s="5" t="inlineStr">
        <is>
          <t>UNKNOWN</t>
        </is>
      </c>
      <c r="AB6" s="5" t="inlineStr">
        <is>
          <t>UNKNOWN</t>
        </is>
      </c>
      <c r="AC6" s="5" t="inlineStr">
        <is>
          <t>LOW · conf. medium</t>
        </is>
      </c>
      <c r="AD6" s="6" t="n">
        <v>75</v>
      </c>
      <c r="AE6" s="8" t="inlineStr">
        <is>
          <t>Nearest major road (Av. Demo Arterial (DEMO)) 1823 m away; no nightclub mapped within 500 m; high floor (9). Quietness estimate: medium confidence.</t>
        </is>
      </c>
      <c r="AF6" s="6" t="n">
        <v>1823</v>
      </c>
      <c r="AG6" s="6" t="n">
        <v>2036</v>
      </c>
      <c r="AH6" s="6" t="n">
        <v>0</v>
      </c>
      <c r="AI6" s="8" t="inlineStr">
        <is>
          <t>park 0 m, Malecón 408 m</t>
        </is>
      </c>
      <c r="AJ6" s="5" t="inlineStr">
        <is>
          <t>UNKNOWN</t>
        </is>
      </c>
      <c r="AK6" s="5" t="inlineStr">
        <is>
          <t>UNKNOWN</t>
        </is>
      </c>
      <c r="AL6" s="5" t="inlineStr">
        <is>
          <t>UNKNOWN</t>
        </is>
      </c>
      <c r="AM6" s="5" t="inlineStr">
        <is>
          <t>2026-09-23</t>
        </is>
      </c>
      <c r="AN6" s="5" t="inlineStr">
        <is>
          <t>LIKELY_ACTIVE</t>
        </is>
      </c>
      <c r="AO6" s="8" t="inlineStr">
        <is>
          <t>58 m² built area — good for a 1-bedroom; low estimated noise (75/100); USD 15.0/m² (good value vs other 1BR in sample)</t>
        </is>
      </c>
      <c r="AP6" s="8" t="inlineStr">
        <is>
          <t>no major drawback identified from listing data</t>
        </is>
      </c>
      <c r="AQ6" s="5" t="inlineStr"/>
      <c r="AR6" s="8" t="inlineStr">
        <is>
          <t>DEMO Inmobiliaria A</t>
        </is>
      </c>
      <c r="AS6" s="5" t="inlineStr">
        <is>
          <t>+5110001000</t>
        </is>
      </c>
      <c r="AT6" s="8" t="inlineStr">
        <is>
          <t>Adondevivir + Urbania</t>
        </is>
      </c>
      <c r="AU6" s="6" t="n">
        <v>2</v>
      </c>
      <c r="AV6" s="5" t="inlineStr">
        <is>
          <t>G0001</t>
        </is>
      </c>
      <c r="AW6" s="5" t="inlineStr"/>
      <c r="AX6" s="10" t="inlineStr">
        <is>
          <t>View listing</t>
        </is>
      </c>
      <c r="AY6" s="5" t="inlineStr">
        <is>
          <t>—</t>
        </is>
      </c>
      <c r="AZ6" s="10" t="inlineStr">
        <is>
          <t>Open map</t>
        </is>
      </c>
      <c r="BA6" s="5" t="inlineStr">
        <is>
          <t>LISTING / EXACT</t>
        </is>
      </c>
      <c r="BB6" s="5" t="inlineStr">
        <is>
          <t>PROGRAMMATIC_PASS</t>
        </is>
      </c>
      <c r="BC6" s="5" t="inlineStr"/>
    </row>
    <row r="7">
      <c r="A7" s="6" t="n">
        <v>3</v>
      </c>
      <c r="B7" s="7" t="n">
        <v>74.7</v>
      </c>
      <c r="C7" s="8" t="inlineStr">
        <is>
          <t>2BR · 80 m² — Av. Ejemplo 229 (DEMO)</t>
        </is>
      </c>
      <c r="D7" s="5" t="inlineStr">
        <is>
          <t>PRIMARY</t>
        </is>
      </c>
      <c r="E7" s="5" t="inlineStr"/>
      <c r="F7" s="9" t="n">
        <v>768.09</v>
      </c>
      <c r="G7" s="5" t="inlineStr">
        <is>
          <t>PEN 2,600</t>
        </is>
      </c>
      <c r="H7" s="5" t="inlineStr">
        <is>
          <t>CALCULATED</t>
        </is>
      </c>
      <c r="I7" s="11" t="n">
        <v>2600</v>
      </c>
      <c r="J7" s="5" t="inlineStr">
        <is>
          <t>S/ 420 (≈ USD 124)</t>
        </is>
      </c>
      <c r="K7" s="5" t="inlineStr">
        <is>
          <t>PUBLISHED</t>
        </is>
      </c>
      <c r="L7" s="9" t="n">
        <v>892.17</v>
      </c>
      <c r="M7" s="6" t="n">
        <v>2</v>
      </c>
      <c r="N7" s="12" t="n">
        <v>2</v>
      </c>
      <c r="O7" s="6" t="n">
        <v>80</v>
      </c>
      <c r="P7" s="5" t="inlineStr">
        <is>
          <t>built</t>
        </is>
      </c>
      <c r="Q7" s="5" t="inlineStr">
        <is>
          <t>GOOD</t>
        </is>
      </c>
      <c r="R7" s="7" t="n">
        <v>9.6</v>
      </c>
      <c r="S7" s="5" t="inlineStr">
        <is>
          <t>EXCELLENT_VALUE</t>
        </is>
      </c>
      <c r="T7" s="5" t="inlineStr">
        <is>
          <t>Yes</t>
        </is>
      </c>
      <c r="U7" s="5" t="inlineStr">
        <is>
          <t>No</t>
        </is>
      </c>
      <c r="V7" s="5" t="inlineStr">
        <is>
          <t>UNKNOWN</t>
        </is>
      </c>
      <c r="W7" s="5" t="inlineStr">
        <is>
          <t>Yes</t>
        </is>
      </c>
      <c r="X7" s="5" t="inlineStr">
        <is>
          <t>UNKNOWN</t>
        </is>
      </c>
      <c r="Y7" s="5" t="inlineStr">
        <is>
          <t>UNKNOWN</t>
        </is>
      </c>
      <c r="Z7" s="5" t="inlineStr">
        <is>
          <t>Yes</t>
        </is>
      </c>
      <c r="AA7" s="5" t="inlineStr">
        <is>
          <t>Yes</t>
        </is>
      </c>
      <c r="AB7" s="5" t="inlineStr">
        <is>
          <t>UNKNOWN</t>
        </is>
      </c>
      <c r="AC7" s="5" t="inlineStr">
        <is>
          <t>LOW · conf. high</t>
        </is>
      </c>
      <c r="AD7" s="6" t="n">
        <v>72</v>
      </c>
      <c r="AE7" s="8" t="inlineStr">
        <is>
          <t>Nearest major road (Av. Demo Arterial (DEMO)) 1542 m away; no nightclub mapped within 500 m. Quietness estimate: high confidence.</t>
        </is>
      </c>
      <c r="AF7" s="6" t="n">
        <v>1542</v>
      </c>
      <c r="AG7" s="6" t="n">
        <v>1440</v>
      </c>
      <c r="AH7" s="6" t="n">
        <v>0</v>
      </c>
      <c r="AI7" s="5" t="inlineStr">
        <is>
          <t>Malecón 689 m</t>
        </is>
      </c>
      <c r="AJ7" s="5" t="inlineStr">
        <is>
          <t>12 months min.</t>
        </is>
      </c>
      <c r="AK7" s="5" t="inlineStr">
        <is>
          <t>2 months deposit</t>
        </is>
      </c>
      <c r="AL7" s="5" t="inlineStr">
        <is>
          <t>UNKNOWN</t>
        </is>
      </c>
      <c r="AM7" s="5" t="inlineStr">
        <is>
          <t>2026-09-05</t>
        </is>
      </c>
      <c r="AN7" s="5" t="inlineStr">
        <is>
          <t>LIKELY_ACTIVE</t>
        </is>
      </c>
      <c r="AO7" s="8" t="inlineStr">
        <is>
          <t>80 m² built area — good for a 2-bedroom; low estimated noise (72/100); USD 9.6/m² (excellent value vs other 2BR in sample)</t>
        </is>
      </c>
      <c r="AP7" s="8" t="inlineStr">
        <is>
          <t>no direct phone/WhatsApp — contact via portal</t>
        </is>
      </c>
      <c r="AQ7" s="8" t="inlineStr">
        <is>
          <t>INCOMPLETE_CONTACT; PRICE_CONVERTED_FROM_PEN</t>
        </is>
      </c>
      <c r="AR7" s="5" t="inlineStr">
        <is>
          <t>DEMO Agente G</t>
        </is>
      </c>
      <c r="AS7" s="5" t="inlineStr">
        <is>
          <t>UNKNOWN</t>
        </is>
      </c>
      <c r="AT7" s="5" t="inlineStr">
        <is>
          <t>Adondevivir</t>
        </is>
      </c>
      <c r="AU7" s="6" t="n">
        <v>1</v>
      </c>
      <c r="AV7" s="5" t="inlineStr">
        <is>
          <t>G0030</t>
        </is>
      </c>
      <c r="AW7" s="5" t="inlineStr"/>
      <c r="AX7" s="10" t="inlineStr">
        <is>
          <t>View listing</t>
        </is>
      </c>
      <c r="AY7" s="5" t="inlineStr">
        <is>
          <t>—</t>
        </is>
      </c>
      <c r="AZ7" s="10" t="inlineStr">
        <is>
          <t>Open map</t>
        </is>
      </c>
      <c r="BA7" s="5" t="inlineStr">
        <is>
          <t>LISTING / EXACT</t>
        </is>
      </c>
      <c r="BB7" s="5" t="inlineStr">
        <is>
          <t>PROGRAMMATIC_PASS</t>
        </is>
      </c>
      <c r="BC7" s="5" t="inlineStr"/>
    </row>
    <row r="8">
      <c r="A8" s="6" t="n">
        <v>4</v>
      </c>
      <c r="B8" s="7" t="n">
        <v>72.8</v>
      </c>
      <c r="C8" s="8" t="inlineStr">
        <is>
          <t>1BR · 63 m² — Av. Ejemplo 222 (DEMO)</t>
        </is>
      </c>
      <c r="D8" s="5" t="inlineStr">
        <is>
          <t>PRIMARY</t>
        </is>
      </c>
      <c r="E8" s="5" t="inlineStr"/>
      <c r="F8" s="9" t="n">
        <v>723.78</v>
      </c>
      <c r="G8" s="5" t="inlineStr">
        <is>
          <t>PEN 2,450</t>
        </is>
      </c>
      <c r="H8" s="5" t="inlineStr">
        <is>
          <t>CALCULATED</t>
        </is>
      </c>
      <c r="I8" s="11" t="n">
        <v>2450</v>
      </c>
      <c r="J8" s="5" t="inlineStr">
        <is>
          <t>S/ 300 (≈ USD 89)</t>
        </is>
      </c>
      <c r="K8" s="5" t="inlineStr">
        <is>
          <t>PUBLISHED</t>
        </is>
      </c>
      <c r="L8" s="9" t="n">
        <v>812.41</v>
      </c>
      <c r="M8" s="6" t="n">
        <v>1</v>
      </c>
      <c r="N8" s="12" t="n">
        <v>2</v>
      </c>
      <c r="O8" s="6" t="n">
        <v>63</v>
      </c>
      <c r="P8" s="5" t="inlineStr">
        <is>
          <t>built</t>
        </is>
      </c>
      <c r="Q8" s="5" t="inlineStr">
        <is>
          <t>VERY_SPACIOUS</t>
        </is>
      </c>
      <c r="R8" s="7" t="n">
        <v>11.49</v>
      </c>
      <c r="S8" s="5" t="inlineStr">
        <is>
          <t>EXCELLENT_VALUE</t>
        </is>
      </c>
      <c r="T8" s="5" t="inlineStr">
        <is>
          <t>Yes</t>
        </is>
      </c>
      <c r="U8" s="5" t="inlineStr">
        <is>
          <t>No</t>
        </is>
      </c>
      <c r="V8" s="5" t="inlineStr">
        <is>
          <t>UNKNOWN</t>
        </is>
      </c>
      <c r="W8" s="5" t="inlineStr">
        <is>
          <t>UNKNOWN</t>
        </is>
      </c>
      <c r="X8" s="5" t="inlineStr">
        <is>
          <t>UNKNOWN</t>
        </is>
      </c>
      <c r="Y8" s="5" t="inlineStr">
        <is>
          <t>UNKNOWN</t>
        </is>
      </c>
      <c r="Z8" s="5" t="inlineStr">
        <is>
          <t>Yes</t>
        </is>
      </c>
      <c r="AA8" s="5" t="inlineStr">
        <is>
          <t>UNKNOWN</t>
        </is>
      </c>
      <c r="AB8" s="5" t="inlineStr">
        <is>
          <t>UNKNOWN</t>
        </is>
      </c>
      <c r="AC8" s="8" t="inlineStr">
        <is>
          <t>MEDIUM · conf. high</t>
        </is>
      </c>
      <c r="AD8" s="6" t="n">
        <v>60</v>
      </c>
      <c r="AE8" s="8" t="inlineStr">
        <is>
          <t>Nearest major road (Av. Demo Arterial (DEMO)) 576 m away; no nightclub mapped within 500 m; listing says it faces an avenue. Quietness estimate: high confidence.</t>
        </is>
      </c>
      <c r="AF8" s="6" t="n">
        <v>576</v>
      </c>
      <c r="AG8" s="6" t="n">
        <v>1151</v>
      </c>
      <c r="AH8" s="6" t="n">
        <v>0</v>
      </c>
      <c r="AI8" s="5" t="inlineStr">
        <is>
          <t>UNKNOWN</t>
        </is>
      </c>
      <c r="AJ8" s="5" t="inlineStr">
        <is>
          <t>UNKNOWN</t>
        </is>
      </c>
      <c r="AK8" s="5" t="inlineStr">
        <is>
          <t>UNKNOWN</t>
        </is>
      </c>
      <c r="AL8" s="5" t="inlineStr">
        <is>
          <t>UNKNOWN</t>
        </is>
      </c>
      <c r="AM8" s="5" t="inlineStr">
        <is>
          <t>2026-09-08</t>
        </is>
      </c>
      <c r="AN8" s="5" t="inlineStr">
        <is>
          <t>LIKELY_ACTIVE</t>
        </is>
      </c>
      <c r="AO8" s="8" t="inlineStr">
        <is>
          <t>63 m² built area — very spacious for a 1-bedroom; USD 11.5/m² (excellent value vs other 1BR in sample); all-in ≈ USD 812/month</t>
        </is>
      </c>
      <c r="AP8" s="8" t="inlineStr">
        <is>
          <t>listing says the unit faces an avenue</t>
        </is>
      </c>
      <c r="AQ8" s="8" t="inlineStr">
        <is>
          <t>DIRECT_MAJOR_AVENUE; INCOMPLETE_CONTACT; PRICE_CONVERTED_FROM_PEN</t>
        </is>
      </c>
      <c r="AR8" s="5" t="inlineStr">
        <is>
          <t>DEMO Agente H</t>
        </is>
      </c>
      <c r="AS8" s="5" t="inlineStr">
        <is>
          <t>UNKNOWN</t>
        </is>
      </c>
      <c r="AT8" s="5" t="inlineStr">
        <is>
          <t>Urbania</t>
        </is>
      </c>
      <c r="AU8" s="6" t="n">
        <v>1</v>
      </c>
      <c r="AV8" s="5" t="inlineStr">
        <is>
          <t>G0023</t>
        </is>
      </c>
      <c r="AW8" s="5" t="inlineStr"/>
      <c r="AX8" s="10" t="inlineStr">
        <is>
          <t>View listing</t>
        </is>
      </c>
      <c r="AY8" s="5" t="inlineStr">
        <is>
          <t>—</t>
        </is>
      </c>
      <c r="AZ8" s="10" t="inlineStr">
        <is>
          <t>Open map</t>
        </is>
      </c>
      <c r="BA8" s="5" t="inlineStr">
        <is>
          <t>LISTING / EXACT</t>
        </is>
      </c>
      <c r="BB8" s="5" t="inlineStr">
        <is>
          <t>PROGRAMMATIC_PASS</t>
        </is>
      </c>
      <c r="BC8" s="5" t="inlineStr"/>
    </row>
    <row r="9">
      <c r="A9" s="6" t="n">
        <v>5</v>
      </c>
      <c r="B9" s="7" t="n">
        <v>71.59999999999999</v>
      </c>
      <c r="C9" s="8" t="inlineStr">
        <is>
          <t>1BR · 61 m² — Calle Ejemplo 130 (DEMO)</t>
        </is>
      </c>
      <c r="D9" s="5" t="inlineStr">
        <is>
          <t>PRIMARY</t>
        </is>
      </c>
      <c r="E9" s="5" t="inlineStr"/>
      <c r="F9" s="9" t="n">
        <v>970</v>
      </c>
      <c r="G9" s="5" t="inlineStr">
        <is>
          <t>USD 970</t>
        </is>
      </c>
      <c r="H9" s="5" t="inlineStr">
        <is>
          <t>PUBLISHED</t>
        </is>
      </c>
      <c r="I9" s="11" t="n">
        <v>3283.45</v>
      </c>
      <c r="J9" s="5" t="inlineStr">
        <is>
          <t>UNKNOWN</t>
        </is>
      </c>
      <c r="K9" s="5" t="inlineStr">
        <is>
          <t>UNKNOWN</t>
        </is>
      </c>
      <c r="L9" s="5" t="inlineStr">
        <is>
          <t>UNKNOWN</t>
        </is>
      </c>
      <c r="M9" s="6" t="n">
        <v>1</v>
      </c>
      <c r="N9" s="12" t="n">
        <v>1</v>
      </c>
      <c r="O9" s="6" t="n">
        <v>61</v>
      </c>
      <c r="P9" s="5" t="inlineStr">
        <is>
          <t>built</t>
        </is>
      </c>
      <c r="Q9" s="5" t="inlineStr">
        <is>
          <t>VERY_SPACIOUS</t>
        </is>
      </c>
      <c r="R9" s="7" t="n">
        <v>15.9</v>
      </c>
      <c r="S9" s="5" t="inlineStr">
        <is>
          <t>GOOD_VALUE</t>
        </is>
      </c>
      <c r="T9" s="5" t="inlineStr">
        <is>
          <t>No</t>
        </is>
      </c>
      <c r="U9" s="5" t="inlineStr">
        <is>
          <t>UNKNOWN</t>
        </is>
      </c>
      <c r="V9" s="5" t="inlineStr">
        <is>
          <t>UNKNOWN</t>
        </is>
      </c>
      <c r="W9" s="5" t="inlineStr">
        <is>
          <t>Yes</t>
        </is>
      </c>
      <c r="X9" s="5" t="inlineStr">
        <is>
          <t>UNKNOWN</t>
        </is>
      </c>
      <c r="Y9" s="5" t="inlineStr">
        <is>
          <t>Yes</t>
        </is>
      </c>
      <c r="Z9" s="5" t="inlineStr">
        <is>
          <t>Yes</t>
        </is>
      </c>
      <c r="AA9" s="5" t="inlineStr">
        <is>
          <t>Yes</t>
        </is>
      </c>
      <c r="AB9" s="5" t="inlineStr">
        <is>
          <t>UNKNOWN</t>
        </is>
      </c>
      <c r="AC9" s="5" t="inlineStr">
        <is>
          <t>LOW · conf. low</t>
        </is>
      </c>
      <c r="AD9" s="6" t="n">
        <v>72</v>
      </c>
      <c r="AE9" s="8" t="inlineStr">
        <is>
          <t>Nearest major road (Av. Demo Arterial (DEMO)) 1710 m away; no nightclub mapped within 500 m; portal location is approximate. Quietness estimate: low confidence.</t>
        </is>
      </c>
      <c r="AF9" s="6" t="n">
        <v>1710</v>
      </c>
      <c r="AG9" s="6" t="n">
        <v>1727</v>
      </c>
      <c r="AH9" s="6" t="n">
        <v>0</v>
      </c>
      <c r="AI9" s="8" t="inlineStr">
        <is>
          <t>supermarket 288 m, pharmacy 389 m, café 250 m, Malecón 521 m</t>
        </is>
      </c>
      <c r="AJ9" s="5" t="inlineStr">
        <is>
          <t>12 months min.</t>
        </is>
      </c>
      <c r="AK9" s="5" t="inlineStr">
        <is>
          <t>2 months deposit</t>
        </is>
      </c>
      <c r="AL9" s="5" t="inlineStr">
        <is>
          <t>UNKNOWN</t>
        </is>
      </c>
      <c r="AM9" s="5" t="inlineStr">
        <is>
          <t>2026-09-16</t>
        </is>
      </c>
      <c r="AN9" s="5" t="inlineStr">
        <is>
          <t>LIKELY_ACTIVE</t>
        </is>
      </c>
      <c r="AO9" s="8" t="inlineStr">
        <is>
          <t>61 m² built area — very spacious for a 1-bedroom; USD 15.9/m² (good value vs other 1BR in sample); building security/controlled access</t>
        </is>
      </c>
      <c r="AP9" s="8" t="inlineStr">
        <is>
          <t>maintenance fee not published — confirm before visiting</t>
        </is>
      </c>
      <c r="AQ9" s="8" t="inlineStr">
        <is>
          <t>APPROXIMATE_LOCATION; NO_FURNITURE; UNKNOWN_MAINTENANCE</t>
        </is>
      </c>
      <c r="AR9" s="8" t="inlineStr">
        <is>
          <t>DEMO Inmobiliaria A</t>
        </is>
      </c>
      <c r="AS9" s="5" t="inlineStr">
        <is>
          <t>+5110001030</t>
        </is>
      </c>
      <c r="AT9" s="5" t="inlineStr">
        <is>
          <t>Urbania</t>
        </is>
      </c>
      <c r="AU9" s="6" t="n">
        <v>1</v>
      </c>
      <c r="AV9" s="5" t="inlineStr">
        <is>
          <t>G0031</t>
        </is>
      </c>
      <c r="AW9" s="5" t="inlineStr"/>
      <c r="AX9" s="10" t="inlineStr">
        <is>
          <t>View listing</t>
        </is>
      </c>
      <c r="AY9" s="5" t="inlineStr">
        <is>
          <t>—</t>
        </is>
      </c>
      <c r="AZ9" s="10" t="inlineStr">
        <is>
          <t>Open map</t>
        </is>
      </c>
      <c r="BA9" s="8" t="inlineStr">
        <is>
          <t>LISTING / APPROXIMATE</t>
        </is>
      </c>
      <c r="BB9" s="5" t="inlineStr">
        <is>
          <t>PROGRAMMATIC_PASS</t>
        </is>
      </c>
      <c r="BC9" s="5" t="inlineStr"/>
    </row>
    <row r="10">
      <c r="A10" s="6" t="n">
        <v>6</v>
      </c>
      <c r="B10" s="7" t="n">
        <v>71.3</v>
      </c>
      <c r="C10" s="8" t="inlineStr">
        <is>
          <t>1BR · 38 m² — Av. Ejemplo 210 (DEMO)</t>
        </is>
      </c>
      <c r="D10" s="5" t="inlineStr">
        <is>
          <t>PRIMARY</t>
        </is>
      </c>
      <c r="E10" s="5" t="inlineStr"/>
      <c r="F10" s="9" t="n">
        <v>635.16</v>
      </c>
      <c r="G10" s="5" t="inlineStr">
        <is>
          <t>PEN 2,150</t>
        </is>
      </c>
      <c r="H10" s="5" t="inlineStr">
        <is>
          <t>CALCULATED</t>
        </is>
      </c>
      <c r="I10" s="11" t="n">
        <v>2150</v>
      </c>
      <c r="J10" s="5" t="inlineStr">
        <is>
          <t>S/ 350 (≈ USD 103)</t>
        </is>
      </c>
      <c r="K10" s="5" t="inlineStr">
        <is>
          <t>PUBLISHED</t>
        </is>
      </c>
      <c r="L10" s="9" t="n">
        <v>738.5599999999999</v>
      </c>
      <c r="M10" s="6" t="n">
        <v>1</v>
      </c>
      <c r="N10" s="12" t="n">
        <v>2</v>
      </c>
      <c r="O10" s="6" t="n">
        <v>38</v>
      </c>
      <c r="P10" s="5" t="inlineStr">
        <is>
          <t>built</t>
        </is>
      </c>
      <c r="Q10" s="5" t="inlineStr">
        <is>
          <t>SMALL</t>
        </is>
      </c>
      <c r="R10" s="7" t="n">
        <v>16.71</v>
      </c>
      <c r="S10" s="5" t="inlineStr">
        <is>
          <t>FAIR_VALUE</t>
        </is>
      </c>
      <c r="T10" s="5" t="inlineStr">
        <is>
          <t>Yes</t>
        </is>
      </c>
      <c r="U10" s="5" t="inlineStr">
        <is>
          <t>Yes (1)</t>
        </is>
      </c>
      <c r="V10" s="5" t="inlineStr">
        <is>
          <t>UNKNOWN</t>
        </is>
      </c>
      <c r="W10" s="5" t="inlineStr">
        <is>
          <t>Yes</t>
        </is>
      </c>
      <c r="X10" s="5" t="inlineStr">
        <is>
          <t>UNKNOWN</t>
        </is>
      </c>
      <c r="Y10" s="5" t="inlineStr">
        <is>
          <t>UNKNOWN</t>
        </is>
      </c>
      <c r="Z10" s="5" t="inlineStr">
        <is>
          <t>Yes</t>
        </is>
      </c>
      <c r="AA10" s="5" t="inlineStr">
        <is>
          <t>Yes</t>
        </is>
      </c>
      <c r="AB10" s="5" t="inlineStr">
        <is>
          <t>UNKNOWN</t>
        </is>
      </c>
      <c r="AC10" s="5" t="inlineStr">
        <is>
          <t>LOW · conf. low</t>
        </is>
      </c>
      <c r="AD10" s="6" t="n">
        <v>72</v>
      </c>
      <c r="AE10" s="8" t="inlineStr">
        <is>
          <t>Nearest major road (Vía Demo Expresa (DEMO)) 564 m away; no nightclub mapped within 500 m; portal location is approximate. Quietness estimate: low confidence.</t>
        </is>
      </c>
      <c r="AF10" s="6" t="n">
        <v>564</v>
      </c>
      <c r="AG10" s="6" t="n">
        <v>893</v>
      </c>
      <c r="AH10" s="6" t="n">
        <v>0</v>
      </c>
      <c r="AI10" s="8" t="inlineStr">
        <is>
          <t>supermarket 325 m, pharmacy 312 m</t>
        </is>
      </c>
      <c r="AJ10" s="5" t="inlineStr">
        <is>
          <t>12 months min.</t>
        </is>
      </c>
      <c r="AK10" s="5" t="inlineStr">
        <is>
          <t>2 months deposit</t>
        </is>
      </c>
      <c r="AL10" s="5" t="inlineStr">
        <is>
          <t>UNKNOWN</t>
        </is>
      </c>
      <c r="AM10" s="5" t="inlineStr">
        <is>
          <t>2026-09-15</t>
        </is>
      </c>
      <c r="AN10" s="5" t="inlineStr">
        <is>
          <t>LIKELY_ACTIVE</t>
        </is>
      </c>
      <c r="AO10" s="8" t="inlineStr">
        <is>
          <t>all-in ≈ USD 739/month; furnished; building security/controlled access</t>
        </is>
      </c>
      <c r="AP10" s="8" t="inlineStr">
        <is>
          <t>portal shows an approximate location only</t>
        </is>
      </c>
      <c r="AQ10" s="8" t="inlineStr">
        <is>
          <t>APPROXIMATE_LOCATION; INCOMPLETE_CONTACT; PRICE_CONVERTED_FROM_PEN</t>
        </is>
      </c>
      <c r="AR10" s="5" t="inlineStr">
        <is>
          <t>DEMO Agente H</t>
        </is>
      </c>
      <c r="AS10" s="5" t="inlineStr">
        <is>
          <t>UNKNOWN</t>
        </is>
      </c>
      <c r="AT10" s="5" t="inlineStr">
        <is>
          <t>Urbania</t>
        </is>
      </c>
      <c r="AU10" s="6" t="n">
        <v>1</v>
      </c>
      <c r="AV10" s="5" t="inlineStr">
        <is>
          <t>G0011</t>
        </is>
      </c>
      <c r="AW10" s="5" t="inlineStr"/>
      <c r="AX10" s="10" t="inlineStr">
        <is>
          <t>View listing</t>
        </is>
      </c>
      <c r="AY10" s="5" t="inlineStr">
        <is>
          <t>—</t>
        </is>
      </c>
      <c r="AZ10" s="10" t="inlineStr">
        <is>
          <t>Open map</t>
        </is>
      </c>
      <c r="BA10" s="8" t="inlineStr">
        <is>
          <t>LISTING / APPROXIMATE</t>
        </is>
      </c>
      <c r="BB10" s="5" t="inlineStr">
        <is>
          <t>PROGRAMMATIC_PASS</t>
        </is>
      </c>
      <c r="BC10" s="5" t="inlineStr"/>
    </row>
    <row r="11">
      <c r="A11" s="6" t="n">
        <v>7</v>
      </c>
      <c r="B11" s="7" t="n">
        <v>69.5</v>
      </c>
      <c r="C11" s="8" t="inlineStr">
        <is>
          <t>1BR · 43 m² — Calle Ejemplo 112 (DEMO)</t>
        </is>
      </c>
      <c r="D11" s="5" t="inlineStr">
        <is>
          <t>PRIMARY</t>
        </is>
      </c>
      <c r="E11" s="5" t="inlineStr"/>
      <c r="F11" s="9" t="n">
        <v>710</v>
      </c>
      <c r="G11" s="5" t="inlineStr">
        <is>
          <t>USD 710</t>
        </is>
      </c>
      <c r="H11" s="5" t="inlineStr">
        <is>
          <t>PUBLISHED</t>
        </is>
      </c>
      <c r="I11" s="11" t="n">
        <v>2403.35</v>
      </c>
      <c r="J11" s="5" t="inlineStr">
        <is>
          <t>S/ 420 (≈ USD 124)</t>
        </is>
      </c>
      <c r="K11" s="5" t="inlineStr">
        <is>
          <t>PUBLISHED</t>
        </is>
      </c>
      <c r="L11" s="9" t="n">
        <v>834.08</v>
      </c>
      <c r="M11" s="6" t="n">
        <v>1</v>
      </c>
      <c r="N11" s="12" t="n">
        <v>1.5</v>
      </c>
      <c r="O11" s="6" t="n">
        <v>43</v>
      </c>
      <c r="P11" s="5" t="inlineStr">
        <is>
          <t>built</t>
        </is>
      </c>
      <c r="Q11" s="5" t="inlineStr">
        <is>
          <t>ACCEPTABLE</t>
        </is>
      </c>
      <c r="R11" s="7" t="n">
        <v>16.51</v>
      </c>
      <c r="S11" s="5" t="inlineStr">
        <is>
          <t>FAIR_VALUE</t>
        </is>
      </c>
      <c r="T11" s="5" t="inlineStr">
        <is>
          <t>Semi</t>
        </is>
      </c>
      <c r="U11" s="5" t="inlineStr">
        <is>
          <t>UNKNOWN</t>
        </is>
      </c>
      <c r="V11" s="5" t="inlineStr">
        <is>
          <t>UNKNOWN</t>
        </is>
      </c>
      <c r="W11" s="5" t="inlineStr">
        <is>
          <t>Yes</t>
        </is>
      </c>
      <c r="X11" s="5" t="inlineStr">
        <is>
          <t>UNKNOWN</t>
        </is>
      </c>
      <c r="Y11" s="5" t="inlineStr">
        <is>
          <t>Yes</t>
        </is>
      </c>
      <c r="Z11" s="5" t="inlineStr">
        <is>
          <t>Yes</t>
        </is>
      </c>
      <c r="AA11" s="5" t="inlineStr">
        <is>
          <t>Yes</t>
        </is>
      </c>
      <c r="AB11" s="5" t="inlineStr">
        <is>
          <t>UNKNOWN</t>
        </is>
      </c>
      <c r="AC11" s="5" t="inlineStr">
        <is>
          <t>MEDIUM · conf. low</t>
        </is>
      </c>
      <c r="AD11" s="6" t="n">
        <v>66</v>
      </c>
      <c r="AE11" s="8" t="inlineStr">
        <is>
          <t>277 m from Av. Demo Arterial (DEMO); no nightclub mapped within 500 m; portal location is approximate. Quietness estimate: low confidence.</t>
        </is>
      </c>
      <c r="AF11" s="6" t="n">
        <v>277</v>
      </c>
      <c r="AG11" s="6" t="n">
        <v>1191</v>
      </c>
      <c r="AH11" s="6" t="n">
        <v>0</v>
      </c>
      <c r="AI11" s="8" t="inlineStr">
        <is>
          <t>supermarket 304 m, pharmacy 301 m, bus/Metropolitano stop 354 m</t>
        </is>
      </c>
      <c r="AJ11" s="5" t="inlineStr">
        <is>
          <t>12 months min.</t>
        </is>
      </c>
      <c r="AK11" s="5" t="inlineStr">
        <is>
          <t>2 months deposit</t>
        </is>
      </c>
      <c r="AL11" s="5" t="inlineStr">
        <is>
          <t>UNKNOWN</t>
        </is>
      </c>
      <c r="AM11" s="5" t="inlineStr">
        <is>
          <t>2026-09-03</t>
        </is>
      </c>
      <c r="AN11" s="5" t="inlineStr">
        <is>
          <t>LIKELY_ACTIVE</t>
        </is>
      </c>
      <c r="AO11" s="8" t="inlineStr">
        <is>
          <t>all-in ≈ USD 834/month; building security/controlled access; balcony/terrace</t>
        </is>
      </c>
      <c r="AP11" s="8" t="inlineStr">
        <is>
          <t>portal shows an approximate location only</t>
        </is>
      </c>
      <c r="AQ11" s="8" t="inlineStr">
        <is>
          <t>APPROXIMATE_LOCATION</t>
        </is>
      </c>
      <c r="AR11" s="8" t="inlineStr">
        <is>
          <t>DEMO Inmobiliaria C</t>
        </is>
      </c>
      <c r="AS11" s="5" t="inlineStr">
        <is>
          <t>+5110001012</t>
        </is>
      </c>
      <c r="AT11" s="5" t="inlineStr">
        <is>
          <t>Urbania</t>
        </is>
      </c>
      <c r="AU11" s="6" t="n">
        <v>1</v>
      </c>
      <c r="AV11" s="5" t="inlineStr">
        <is>
          <t>G0013</t>
        </is>
      </c>
      <c r="AW11" s="5" t="inlineStr"/>
      <c r="AX11" s="10" t="inlineStr">
        <is>
          <t>View listing</t>
        </is>
      </c>
      <c r="AY11" s="5" t="inlineStr">
        <is>
          <t>—</t>
        </is>
      </c>
      <c r="AZ11" s="10" t="inlineStr">
        <is>
          <t>Open map</t>
        </is>
      </c>
      <c r="BA11" s="8" t="inlineStr">
        <is>
          <t>LISTING / APPROXIMATE</t>
        </is>
      </c>
      <c r="BB11" s="5" t="inlineStr">
        <is>
          <t>PROGRAMMATIC_PASS</t>
        </is>
      </c>
      <c r="BC11" s="5" t="inlineStr"/>
    </row>
    <row r="12">
      <c r="A12" s="6" t="n">
        <v>8</v>
      </c>
      <c r="B12" s="7" t="n">
        <v>68.90000000000001</v>
      </c>
      <c r="C12" s="8" t="inlineStr">
        <is>
          <t>2BR · 92 m² — Calle Ejemplo 103 (DEMO)</t>
        </is>
      </c>
      <c r="D12" s="5" t="inlineStr">
        <is>
          <t>PRIMARY</t>
        </is>
      </c>
      <c r="E12" s="5" t="inlineStr"/>
      <c r="F12" s="9" t="n">
        <v>760</v>
      </c>
      <c r="G12" s="5" t="inlineStr">
        <is>
          <t>USD 760</t>
        </is>
      </c>
      <c r="H12" s="5" t="inlineStr">
        <is>
          <t>PUBLISHED</t>
        </is>
      </c>
      <c r="I12" s="11" t="n">
        <v>2572.6</v>
      </c>
      <c r="J12" s="5" t="inlineStr">
        <is>
          <t>UNKNOWN</t>
        </is>
      </c>
      <c r="K12" s="5" t="inlineStr">
        <is>
          <t>UNKNOWN</t>
        </is>
      </c>
      <c r="L12" s="5" t="inlineStr">
        <is>
          <t>UNKNOWN</t>
        </is>
      </c>
      <c r="M12" s="6" t="n">
        <v>2</v>
      </c>
      <c r="N12" s="12" t="n">
        <v>1</v>
      </c>
      <c r="O12" s="6" t="n">
        <v>92</v>
      </c>
      <c r="P12" s="5" t="inlineStr">
        <is>
          <t>built</t>
        </is>
      </c>
      <c r="Q12" s="5" t="inlineStr">
        <is>
          <t>VERY_SPACIOUS</t>
        </is>
      </c>
      <c r="R12" s="7" t="n">
        <v>8.26</v>
      </c>
      <c r="S12" s="5" t="inlineStr">
        <is>
          <t>EXCELLENT_VALUE</t>
        </is>
      </c>
      <c r="T12" s="5" t="inlineStr">
        <is>
          <t>Yes</t>
        </is>
      </c>
      <c r="U12" s="5" t="inlineStr">
        <is>
          <t>Yes</t>
        </is>
      </c>
      <c r="V12" s="5" t="inlineStr">
        <is>
          <t>UNKNOWN</t>
        </is>
      </c>
      <c r="W12" s="5" t="inlineStr">
        <is>
          <t>Yes</t>
        </is>
      </c>
      <c r="X12" s="5" t="inlineStr">
        <is>
          <t>Yes</t>
        </is>
      </c>
      <c r="Y12" s="5" t="inlineStr">
        <is>
          <t>UNKNOWN</t>
        </is>
      </c>
      <c r="Z12" s="5" t="inlineStr">
        <is>
          <t>UNKNOWN</t>
        </is>
      </c>
      <c r="AA12" s="5" t="inlineStr">
        <is>
          <t>UNKNOWN</t>
        </is>
      </c>
      <c r="AB12" s="5" t="inlineStr">
        <is>
          <t>Yes</t>
        </is>
      </c>
      <c r="AC12" s="5" t="inlineStr">
        <is>
          <t>MEDIUM · conf. low</t>
        </is>
      </c>
      <c r="AD12" s="6" t="n">
        <v>54</v>
      </c>
      <c r="AE12" s="8" t="inlineStr">
        <is>
          <t>222 m from Av. Demo Arterial (DEMO); nightclub 'Discoteca Demo (DEMO)' 107 m away; listing says interior-facing / contrafrente; seller describes the street as quiet (unverified claim); portal location is approximate. Quietness estimate: low confidence.</t>
        </is>
      </c>
      <c r="AF12" s="6" t="n">
        <v>222</v>
      </c>
      <c r="AG12" s="6" t="n">
        <v>107</v>
      </c>
      <c r="AH12" s="6" t="n">
        <v>0</v>
      </c>
      <c r="AI12" s="8" t="inlineStr">
        <is>
          <t>bus/Metropolitano stop 257 m</t>
        </is>
      </c>
      <c r="AJ12" s="5" t="inlineStr">
        <is>
          <t>6 months min.</t>
        </is>
      </c>
      <c r="AK12" s="5" t="inlineStr">
        <is>
          <t>UNKNOWN</t>
        </is>
      </c>
      <c r="AL12" s="5" t="inlineStr">
        <is>
          <t>UNKNOWN</t>
        </is>
      </c>
      <c r="AM12" s="5" t="inlineStr">
        <is>
          <t>2026-09-18</t>
        </is>
      </c>
      <c r="AN12" s="5" t="inlineStr">
        <is>
          <t>LIKELY_ACTIVE</t>
        </is>
      </c>
      <c r="AO12" s="8" t="inlineStr">
        <is>
          <t>92 m² built area — very spacious for a 2-bedroom; interior-facing; USD 8.3/m² (excellent value vs other 2BR in sample)</t>
        </is>
      </c>
      <c r="AP12" s="8" t="inlineStr">
        <is>
          <t>bars/nightlife nearby — check at night</t>
        </is>
      </c>
      <c r="AQ12" s="8" t="inlineStr">
        <is>
          <t>APPROXIMATE_LOCATION; NIGHTLIFE_PROXIMITY; UNKNOWN_MAINTENANCE</t>
        </is>
      </c>
      <c r="AR12" s="8" t="inlineStr">
        <is>
          <t>DEMO Inmobiliaria D</t>
        </is>
      </c>
      <c r="AS12" s="5" t="inlineStr">
        <is>
          <t>+5110001003</t>
        </is>
      </c>
      <c r="AT12" s="5" t="inlineStr">
        <is>
          <t>Adondevivir</t>
        </is>
      </c>
      <c r="AU12" s="6" t="n">
        <v>1</v>
      </c>
      <c r="AV12" s="5" t="inlineStr">
        <is>
          <t>G0004</t>
        </is>
      </c>
      <c r="AW12" s="5" t="inlineStr"/>
      <c r="AX12" s="10" t="inlineStr">
        <is>
          <t>View listing</t>
        </is>
      </c>
      <c r="AY12" s="5" t="inlineStr">
        <is>
          <t>—</t>
        </is>
      </c>
      <c r="AZ12" s="10" t="inlineStr">
        <is>
          <t>Open map</t>
        </is>
      </c>
      <c r="BA12" s="8" t="inlineStr">
        <is>
          <t>LISTING / APPROXIMATE</t>
        </is>
      </c>
      <c r="BB12" s="5" t="inlineStr">
        <is>
          <t>PROGRAMMATIC_PASS</t>
        </is>
      </c>
      <c r="BC12" s="5" t="inlineStr"/>
    </row>
    <row r="13">
      <c r="A13" s="6" t="n">
        <v>9</v>
      </c>
      <c r="B13" s="7" t="n">
        <v>66.59999999999999</v>
      </c>
      <c r="C13" s="8" t="inlineStr">
        <is>
          <t>2BR · 61 m² — Av. Ejemplo 211 (DEMO)</t>
        </is>
      </c>
      <c r="D13" s="5" t="inlineStr">
        <is>
          <t>PRIMARY</t>
        </is>
      </c>
      <c r="E13" s="5" t="inlineStr"/>
      <c r="F13" s="9" t="n">
        <v>664.7</v>
      </c>
      <c r="G13" s="5" t="inlineStr">
        <is>
          <t>PEN 2,250</t>
        </is>
      </c>
      <c r="H13" s="5" t="inlineStr">
        <is>
          <t>CALCULATED</t>
        </is>
      </c>
      <c r="I13" s="11" t="n">
        <v>2250</v>
      </c>
      <c r="J13" s="5" t="inlineStr">
        <is>
          <t>S/ 420 (≈ USD 124)</t>
        </is>
      </c>
      <c r="K13" s="5" t="inlineStr">
        <is>
          <t>PUBLISHED</t>
        </is>
      </c>
      <c r="L13" s="9" t="n">
        <v>788.78</v>
      </c>
      <c r="M13" s="6" t="n">
        <v>2</v>
      </c>
      <c r="N13" s="12" t="n">
        <v>2</v>
      </c>
      <c r="O13" s="6" t="n">
        <v>61</v>
      </c>
      <c r="P13" s="5" t="inlineStr">
        <is>
          <t>built</t>
        </is>
      </c>
      <c r="Q13" s="5" t="inlineStr">
        <is>
          <t>ACCEPTABLE</t>
        </is>
      </c>
      <c r="R13" s="7" t="n">
        <v>10.9</v>
      </c>
      <c r="S13" s="5" t="inlineStr">
        <is>
          <t>GOOD_VALUE</t>
        </is>
      </c>
      <c r="T13" s="5" t="inlineStr">
        <is>
          <t>No</t>
        </is>
      </c>
      <c r="U13" s="5" t="inlineStr">
        <is>
          <t>No</t>
        </is>
      </c>
      <c r="V13" s="5" t="inlineStr">
        <is>
          <t>UNKNOWN</t>
        </is>
      </c>
      <c r="W13" s="5" t="inlineStr">
        <is>
          <t>UNKNOWN</t>
        </is>
      </c>
      <c r="X13" s="5" t="inlineStr">
        <is>
          <t>UNKNOWN</t>
        </is>
      </c>
      <c r="Y13" s="5" t="inlineStr">
        <is>
          <t>UNKNOWN</t>
        </is>
      </c>
      <c r="Z13" s="5" t="inlineStr">
        <is>
          <t>UNKNOWN</t>
        </is>
      </c>
      <c r="AA13" s="5" t="inlineStr">
        <is>
          <t>UNKNOWN</t>
        </is>
      </c>
      <c r="AB13" s="5" t="inlineStr">
        <is>
          <t>Yes</t>
        </is>
      </c>
      <c r="AC13" s="5" t="inlineStr">
        <is>
          <t>LOW · conf. high</t>
        </is>
      </c>
      <c r="AD13" s="6" t="n">
        <v>85</v>
      </c>
      <c r="AE13" s="8" t="inlineStr">
        <is>
          <t>Nearest major road (Av. Demo Arterial (DEMO)) 1204 m away; no nightclub mapped within 500 m; listing says interior-facing / contrafrente; seller describes the street as quiet (unverified claim). Quietness estimate: high confidence.</t>
        </is>
      </c>
      <c r="AF13" s="6" t="n">
        <v>1204</v>
      </c>
      <c r="AG13" s="6" t="n">
        <v>1144</v>
      </c>
      <c r="AH13" s="6" t="n">
        <v>0</v>
      </c>
      <c r="AI13" s="8" t="inlineStr">
        <is>
          <t>supermarket 429 m, park 233 m</t>
        </is>
      </c>
      <c r="AJ13" s="5" t="inlineStr">
        <is>
          <t>6 months min.</t>
        </is>
      </c>
      <c r="AK13" s="5" t="inlineStr">
        <is>
          <t>UNKNOWN</t>
        </is>
      </c>
      <c r="AL13" s="5" t="inlineStr">
        <is>
          <t>UNKNOWN</t>
        </is>
      </c>
      <c r="AM13" s="5" t="inlineStr">
        <is>
          <t>2026-08-13</t>
        </is>
      </c>
      <c r="AN13" s="5" t="inlineStr">
        <is>
          <t>LIKELY_ACTIVE</t>
        </is>
      </c>
      <c r="AO13" s="8" t="inlineStr">
        <is>
          <t>low estimated noise (85/100); interior-facing; USD 10.9/m² (good value vs other 2BR in sample)</t>
        </is>
      </c>
      <c r="AP13" s="5" t="inlineStr">
        <is>
          <t>unfurnished</t>
        </is>
      </c>
      <c r="AQ13" s="8" t="inlineStr">
        <is>
          <t>INCOMPLETE_CONTACT; NO_FURNITURE; PRICE_CONVERTED_FROM_PEN</t>
        </is>
      </c>
      <c r="AR13" s="5" t="inlineStr">
        <is>
          <t>DEMO Agente I</t>
        </is>
      </c>
      <c r="AS13" s="5" t="inlineStr">
        <is>
          <t>UNKNOWN</t>
        </is>
      </c>
      <c r="AT13" s="5" t="inlineStr">
        <is>
          <t>Adondevivir</t>
        </is>
      </c>
      <c r="AU13" s="6" t="n">
        <v>1</v>
      </c>
      <c r="AV13" s="5" t="inlineStr">
        <is>
          <t>G0012</t>
        </is>
      </c>
      <c r="AW13" s="5" t="inlineStr"/>
      <c r="AX13" s="10" t="inlineStr">
        <is>
          <t>View listing</t>
        </is>
      </c>
      <c r="AY13" s="5" t="inlineStr">
        <is>
          <t>—</t>
        </is>
      </c>
      <c r="AZ13" s="10" t="inlineStr">
        <is>
          <t>Open map</t>
        </is>
      </c>
      <c r="BA13" s="5" t="inlineStr">
        <is>
          <t>LISTING / EXACT</t>
        </is>
      </c>
      <c r="BB13" s="5" t="inlineStr">
        <is>
          <t>PROGRAMMATIC_PASS</t>
        </is>
      </c>
      <c r="BC13" s="5" t="inlineStr"/>
    </row>
    <row r="14">
      <c r="A14" s="6" t="n">
        <v>10</v>
      </c>
      <c r="B14" s="7" t="n">
        <v>64.2</v>
      </c>
      <c r="C14" s="8" t="inlineStr">
        <is>
          <t>1BR · 47 m² — Calle Ejemplo 127 (DEMO)</t>
        </is>
      </c>
      <c r="D14" s="5" t="inlineStr">
        <is>
          <t>PRIMARY</t>
        </is>
      </c>
      <c r="E14" s="5" t="inlineStr"/>
      <c r="F14" s="9" t="n">
        <v>650</v>
      </c>
      <c r="G14" s="5" t="inlineStr">
        <is>
          <t>USD 650</t>
        </is>
      </c>
      <c r="H14" s="5" t="inlineStr">
        <is>
          <t>PUBLISHED</t>
        </is>
      </c>
      <c r="I14" s="11" t="n">
        <v>2200.25</v>
      </c>
      <c r="J14" s="5" t="inlineStr">
        <is>
          <t>S/ 300 (≈ USD 89)</t>
        </is>
      </c>
      <c r="K14" s="5" t="inlineStr">
        <is>
          <t>PUBLISHED</t>
        </is>
      </c>
      <c r="L14" s="9" t="n">
        <v>738.63</v>
      </c>
      <c r="M14" s="6" t="n">
        <v>1</v>
      </c>
      <c r="N14" s="12" t="n">
        <v>2</v>
      </c>
      <c r="O14" s="6" t="n">
        <v>47</v>
      </c>
      <c r="P14" s="5" t="inlineStr">
        <is>
          <t>built</t>
        </is>
      </c>
      <c r="Q14" s="5" t="inlineStr">
        <is>
          <t>ACCEPTABLE</t>
        </is>
      </c>
      <c r="R14" s="7" t="n">
        <v>13.83</v>
      </c>
      <c r="S14" s="5" t="inlineStr">
        <is>
          <t>GOOD_VALUE</t>
        </is>
      </c>
      <c r="T14" s="5" t="inlineStr">
        <is>
          <t>No</t>
        </is>
      </c>
      <c r="U14" s="5" t="inlineStr">
        <is>
          <t>UNKNOWN</t>
        </is>
      </c>
      <c r="V14" s="5" t="n">
        <v>10</v>
      </c>
      <c r="W14" s="5" t="inlineStr">
        <is>
          <t>Yes</t>
        </is>
      </c>
      <c r="X14" s="5" t="inlineStr">
        <is>
          <t>Yes</t>
        </is>
      </c>
      <c r="Y14" s="5" t="inlineStr">
        <is>
          <t>UNKNOWN</t>
        </is>
      </c>
      <c r="Z14" s="5" t="inlineStr">
        <is>
          <t>UNKNOWN</t>
        </is>
      </c>
      <c r="AA14" s="5" t="inlineStr">
        <is>
          <t>UNKNOWN</t>
        </is>
      </c>
      <c r="AB14" s="5" t="inlineStr">
        <is>
          <t>UNKNOWN</t>
        </is>
      </c>
      <c r="AC14" s="5" t="inlineStr">
        <is>
          <t>LOW · conf. medium</t>
        </is>
      </c>
      <c r="AD14" s="6" t="n">
        <v>75</v>
      </c>
      <c r="AE14" s="8" t="inlineStr">
        <is>
          <t>Nearest major road (Av. Demo Arterial (DEMO)) 534 m away; no nightclub mapped within 500 m; high floor (10). Quietness estimate: medium confidence.</t>
        </is>
      </c>
      <c r="AF14" s="6" t="n">
        <v>534</v>
      </c>
      <c r="AG14" s="6" t="n">
        <v>728</v>
      </c>
      <c r="AH14" s="6" t="n">
        <v>0</v>
      </c>
      <c r="AI14" s="5" t="inlineStr">
        <is>
          <t>UNKNOWN</t>
        </is>
      </c>
      <c r="AJ14" s="5" t="inlineStr">
        <is>
          <t>UNKNOWN</t>
        </is>
      </c>
      <c r="AK14" s="5" t="inlineStr">
        <is>
          <t>UNKNOWN</t>
        </is>
      </c>
      <c r="AL14" s="5" t="inlineStr">
        <is>
          <t>UNKNOWN</t>
        </is>
      </c>
      <c r="AM14" s="5" t="inlineStr">
        <is>
          <t>2026-09-10</t>
        </is>
      </c>
      <c r="AN14" s="5" t="inlineStr">
        <is>
          <t>LIKELY_ACTIVE</t>
        </is>
      </c>
      <c r="AO14" s="8" t="inlineStr">
        <is>
          <t>low estimated noise (75/100); USD 13.8/m² (good value vs other 1BR in sample); all-in ≈ USD 739/month</t>
        </is>
      </c>
      <c r="AP14" s="5" t="inlineStr">
        <is>
          <t>unfurnished</t>
        </is>
      </c>
      <c r="AQ14" s="5" t="inlineStr">
        <is>
          <t>NO_FURNITURE</t>
        </is>
      </c>
      <c r="AR14" s="8" t="inlineStr">
        <is>
          <t>DEMO Inmobiliaria C</t>
        </is>
      </c>
      <c r="AS14" s="5" t="inlineStr">
        <is>
          <t>+5110001027</t>
        </is>
      </c>
      <c r="AT14" s="5" t="inlineStr">
        <is>
          <t>Adondevivir</t>
        </is>
      </c>
      <c r="AU14" s="6" t="n">
        <v>1</v>
      </c>
      <c r="AV14" s="5" t="inlineStr">
        <is>
          <t>G0028</t>
        </is>
      </c>
      <c r="AW14" s="5" t="inlineStr"/>
      <c r="AX14" s="10" t="inlineStr">
        <is>
          <t>View listing</t>
        </is>
      </c>
      <c r="AY14" s="5" t="inlineStr">
        <is>
          <t>—</t>
        </is>
      </c>
      <c r="AZ14" s="10" t="inlineStr">
        <is>
          <t>Open map</t>
        </is>
      </c>
      <c r="BA14" s="5" t="inlineStr">
        <is>
          <t>LISTING / EXACT</t>
        </is>
      </c>
      <c r="BB14" s="5" t="inlineStr">
        <is>
          <t>PROGRAMMATIC_PASS</t>
        </is>
      </c>
      <c r="BC14" s="5" t="inlineStr"/>
    </row>
    <row r="15">
      <c r="A15" s="6" t="n">
        <v>11</v>
      </c>
      <c r="B15" s="7" t="n">
        <v>63.6</v>
      </c>
      <c r="C15" s="8" t="inlineStr">
        <is>
          <t>2BR · 58 m² — Av. Ejemplo 228 (DEMO)</t>
        </is>
      </c>
      <c r="D15" s="5" t="inlineStr">
        <is>
          <t>PRIMARY</t>
        </is>
      </c>
      <c r="E15" s="5" t="inlineStr"/>
      <c r="F15" s="9" t="n">
        <v>812.41</v>
      </c>
      <c r="G15" s="5" t="inlineStr">
        <is>
          <t>PEN 2,750</t>
        </is>
      </c>
      <c r="H15" s="5" t="inlineStr">
        <is>
          <t>CALCULATED</t>
        </is>
      </c>
      <c r="I15" s="11" t="n">
        <v>2750</v>
      </c>
      <c r="J15" s="5" t="inlineStr">
        <is>
          <t>S/ 420 (≈ USD 124)</t>
        </is>
      </c>
      <c r="K15" s="5" t="inlineStr">
        <is>
          <t>PUBLISHED</t>
        </is>
      </c>
      <c r="L15" s="9" t="n">
        <v>936.49</v>
      </c>
      <c r="M15" s="6" t="n">
        <v>2</v>
      </c>
      <c r="N15" s="12" t="n">
        <v>2</v>
      </c>
      <c r="O15" s="6" t="n">
        <v>58</v>
      </c>
      <c r="P15" s="5" t="inlineStr">
        <is>
          <t>built</t>
        </is>
      </c>
      <c r="Q15" s="5" t="inlineStr">
        <is>
          <t>ACCEPTABLE</t>
        </is>
      </c>
      <c r="R15" s="7" t="n">
        <v>14.01</v>
      </c>
      <c r="S15" s="5" t="inlineStr">
        <is>
          <t>FAIR_VALUE</t>
        </is>
      </c>
      <c r="T15" s="5" t="inlineStr">
        <is>
          <t>Semi</t>
        </is>
      </c>
      <c r="U15" s="5" t="inlineStr">
        <is>
          <t>Yes (1)</t>
        </is>
      </c>
      <c r="V15" s="5" t="inlineStr">
        <is>
          <t>UNKNOWN</t>
        </is>
      </c>
      <c r="W15" s="5" t="inlineStr">
        <is>
          <t>UNKNOWN</t>
        </is>
      </c>
      <c r="X15" s="5" t="inlineStr">
        <is>
          <t>UNKNOWN</t>
        </is>
      </c>
      <c r="Y15" s="5" t="inlineStr">
        <is>
          <t>UNKNOWN</t>
        </is>
      </c>
      <c r="Z15" s="5" t="inlineStr">
        <is>
          <t>Yes</t>
        </is>
      </c>
      <c r="AA15" s="5" t="inlineStr">
        <is>
          <t>UNKNOWN</t>
        </is>
      </c>
      <c r="AB15" s="5" t="inlineStr">
        <is>
          <t>UNKNOWN</t>
        </is>
      </c>
      <c r="AC15" s="8" t="inlineStr">
        <is>
          <t>MEDIUM · conf. high</t>
        </is>
      </c>
      <c r="AD15" s="6" t="n">
        <v>60</v>
      </c>
      <c r="AE15" s="8" t="inlineStr">
        <is>
          <t>Nearest major road (Av. Demo Arterial (DEMO)) 1799 m away; no nightclub mapped within 500 m; listing says it faces an avenue. Quietness estimate: high confidence.</t>
        </is>
      </c>
      <c r="AF15" s="6" t="n">
        <v>1799</v>
      </c>
      <c r="AG15" s="6" t="n">
        <v>1925</v>
      </c>
      <c r="AH15" s="6" t="n">
        <v>0</v>
      </c>
      <c r="AI15" s="8" t="inlineStr">
        <is>
          <t>park 0 m, Malecón 432 m</t>
        </is>
      </c>
      <c r="AJ15" s="5" t="inlineStr">
        <is>
          <t>UNKNOWN</t>
        </is>
      </c>
      <c r="AK15" s="5" t="inlineStr">
        <is>
          <t>UNKNOWN</t>
        </is>
      </c>
      <c r="AL15" s="5" t="inlineStr">
        <is>
          <t>UNKNOWN</t>
        </is>
      </c>
      <c r="AM15" s="5" t="inlineStr">
        <is>
          <t>2026-09-23</t>
        </is>
      </c>
      <c r="AN15" s="5" t="inlineStr">
        <is>
          <t>LIKELY_ACTIVE</t>
        </is>
      </c>
      <c r="AO15" s="8" t="inlineStr">
        <is>
          <t>building security/controlled access</t>
        </is>
      </c>
      <c r="AP15" s="8" t="inlineStr">
        <is>
          <t>listing says the unit faces an avenue</t>
        </is>
      </c>
      <c r="AQ15" s="8" t="inlineStr">
        <is>
          <t>DIRECT_MAJOR_AVENUE; INCOMPLETE_CONTACT; PRICE_CONVERTED_FROM_PEN</t>
        </is>
      </c>
      <c r="AR15" s="5" t="inlineStr">
        <is>
          <t>DEMO Agente F</t>
        </is>
      </c>
      <c r="AS15" s="5" t="inlineStr">
        <is>
          <t>UNKNOWN</t>
        </is>
      </c>
      <c r="AT15" s="5" t="inlineStr">
        <is>
          <t>Urbania</t>
        </is>
      </c>
      <c r="AU15" s="6" t="n">
        <v>1</v>
      </c>
      <c r="AV15" s="5" t="inlineStr">
        <is>
          <t>G0029</t>
        </is>
      </c>
      <c r="AW15" s="5" t="inlineStr"/>
      <c r="AX15" s="10" t="inlineStr">
        <is>
          <t>View listing</t>
        </is>
      </c>
      <c r="AY15" s="5" t="inlineStr">
        <is>
          <t>—</t>
        </is>
      </c>
      <c r="AZ15" s="10" t="inlineStr">
        <is>
          <t>Open map</t>
        </is>
      </c>
      <c r="BA15" s="5" t="inlineStr">
        <is>
          <t>LISTING / EXACT</t>
        </is>
      </c>
      <c r="BB15" s="5" t="inlineStr">
        <is>
          <t>PROGRAMMATIC_PASS</t>
        </is>
      </c>
      <c r="BC15" s="5" t="inlineStr"/>
    </row>
    <row r="16">
      <c r="A16" s="6" t="n">
        <v>12</v>
      </c>
      <c r="B16" s="7" t="n">
        <v>63.5</v>
      </c>
      <c r="C16" s="8" t="inlineStr">
        <is>
          <t>1BR · 62 m² — Av. Ejemplo 201 (DEMO)</t>
        </is>
      </c>
      <c r="D16" s="5" t="inlineStr">
        <is>
          <t>PRIMARY</t>
        </is>
      </c>
      <c r="E16" s="5" t="inlineStr"/>
      <c r="F16" s="9" t="n">
        <v>782.87</v>
      </c>
      <c r="G16" s="5" t="inlineStr">
        <is>
          <t>PEN 2,650</t>
        </is>
      </c>
      <c r="H16" s="5" t="inlineStr">
        <is>
          <t>CALCULATED</t>
        </is>
      </c>
      <c r="I16" s="11" t="n">
        <v>2650</v>
      </c>
      <c r="J16" s="5" t="inlineStr">
        <is>
          <t>S/ 420 (≈ USD 124)</t>
        </is>
      </c>
      <c r="K16" s="5" t="inlineStr">
        <is>
          <t>PUBLISHED</t>
        </is>
      </c>
      <c r="L16" s="9" t="n">
        <v>906.95</v>
      </c>
      <c r="M16" s="6" t="n">
        <v>1</v>
      </c>
      <c r="N16" s="12" t="n">
        <v>2</v>
      </c>
      <c r="O16" s="6" t="n">
        <v>62</v>
      </c>
      <c r="P16" s="5" t="inlineStr">
        <is>
          <t>built</t>
        </is>
      </c>
      <c r="Q16" s="5" t="inlineStr">
        <is>
          <t>VERY_SPACIOUS</t>
        </is>
      </c>
      <c r="R16" s="7" t="n">
        <v>12.63</v>
      </c>
      <c r="S16" s="5" t="inlineStr">
        <is>
          <t>EXCELLENT_VALUE</t>
        </is>
      </c>
      <c r="T16" s="5" t="inlineStr">
        <is>
          <t>No</t>
        </is>
      </c>
      <c r="U16" s="5" t="inlineStr">
        <is>
          <t>No</t>
        </is>
      </c>
      <c r="V16" s="5" t="n">
        <v>3</v>
      </c>
      <c r="W16" s="5" t="inlineStr">
        <is>
          <t>Yes</t>
        </is>
      </c>
      <c r="X16" s="5" t="inlineStr">
        <is>
          <t>UNKNOWN</t>
        </is>
      </c>
      <c r="Y16" s="5" t="inlineStr">
        <is>
          <t>UNKNOWN</t>
        </is>
      </c>
      <c r="Z16" s="5" t="inlineStr">
        <is>
          <t>UNKNOWN</t>
        </is>
      </c>
      <c r="AA16" s="5" t="inlineStr">
        <is>
          <t>UNKNOWN</t>
        </is>
      </c>
      <c r="AB16" s="5" t="inlineStr">
        <is>
          <t>UNKNOWN</t>
        </is>
      </c>
      <c r="AC16" s="5" t="inlineStr">
        <is>
          <t>LOW · conf. medium</t>
        </is>
      </c>
      <c r="AD16" s="6" t="n">
        <v>72</v>
      </c>
      <c r="AE16" s="8" t="inlineStr">
        <is>
          <t>Nearest major road (Av. Demo Arterial (DEMO)) 1397 m away; no nightclub mapped within 500 m. Quietness estimate: medium confidence.</t>
        </is>
      </c>
      <c r="AF16" s="6" t="n">
        <v>1397</v>
      </c>
      <c r="AG16" s="6" t="n">
        <v>1342</v>
      </c>
      <c r="AH16" s="6" t="n">
        <v>0</v>
      </c>
      <c r="AI16" s="5" t="inlineStr">
        <is>
          <t>Malecón 834 m</t>
        </is>
      </c>
      <c r="AJ16" s="5" t="inlineStr">
        <is>
          <t>UNKNOWN</t>
        </is>
      </c>
      <c r="AK16" s="5" t="inlineStr">
        <is>
          <t>UNKNOWN</t>
        </is>
      </c>
      <c r="AL16" s="5" t="inlineStr">
        <is>
          <t>UNKNOWN</t>
        </is>
      </c>
      <c r="AM16" s="5" t="inlineStr">
        <is>
          <t>2026-08-10</t>
        </is>
      </c>
      <c r="AN16" s="5" t="inlineStr">
        <is>
          <t>LIKELY_ACTIVE</t>
        </is>
      </c>
      <c r="AO16" s="8" t="inlineStr">
        <is>
          <t>62 m² built area — very spacious for a 1-bedroom; low estimated noise (72/100); USD 12.6/m² (excellent value vs other 1BR in sample)</t>
        </is>
      </c>
      <c r="AP16" s="5" t="inlineStr">
        <is>
          <t>unfurnished</t>
        </is>
      </c>
      <c r="AQ16" s="8" t="inlineStr">
        <is>
          <t>INCOMPLETE_CONTACT; NO_FURNITURE; PRICE_CONVERTED_FROM_PEN</t>
        </is>
      </c>
      <c r="AR16" s="5" t="inlineStr">
        <is>
          <t>DEMO Agente G</t>
        </is>
      </c>
      <c r="AS16" s="5" t="inlineStr">
        <is>
          <t>UNKNOWN</t>
        </is>
      </c>
      <c r="AT16" s="5" t="inlineStr">
        <is>
          <t>Adondevivir</t>
        </is>
      </c>
      <c r="AU16" s="6" t="n">
        <v>1</v>
      </c>
      <c r="AV16" s="5" t="inlineStr">
        <is>
          <t>G0002</t>
        </is>
      </c>
      <c r="AW16" s="5" t="inlineStr"/>
      <c r="AX16" s="10" t="inlineStr">
        <is>
          <t>View listing</t>
        </is>
      </c>
      <c r="AY16" s="5" t="inlineStr">
        <is>
          <t>—</t>
        </is>
      </c>
      <c r="AZ16" s="10" t="inlineStr">
        <is>
          <t>Open map</t>
        </is>
      </c>
      <c r="BA16" s="5" t="inlineStr">
        <is>
          <t>LISTING / EXACT</t>
        </is>
      </c>
      <c r="BB16" s="5" t="inlineStr">
        <is>
          <t>PROGRAMMATIC_PASS</t>
        </is>
      </c>
      <c r="BC16" s="5" t="inlineStr"/>
    </row>
    <row r="17">
      <c r="A17" s="6" t="n">
        <v>13</v>
      </c>
      <c r="B17" s="7" t="n">
        <v>63.4</v>
      </c>
      <c r="C17" s="8" t="inlineStr">
        <is>
          <t>1BR · 41 m² — Av. Ejemplo 202 (DEMO)</t>
        </is>
      </c>
      <c r="D17" s="5" t="inlineStr">
        <is>
          <t>PRIMARY</t>
        </is>
      </c>
      <c r="E17" s="5" t="inlineStr"/>
      <c r="F17" s="9" t="n">
        <v>782.87</v>
      </c>
      <c r="G17" s="5" t="inlineStr">
        <is>
          <t>PEN 2,650</t>
        </is>
      </c>
      <c r="H17" s="5" t="inlineStr">
        <is>
          <t>CALCULATED</t>
        </is>
      </c>
      <c r="I17" s="11" t="n">
        <v>2650</v>
      </c>
      <c r="J17" s="5" t="inlineStr">
        <is>
          <t>S/ 300 (≈ USD 89)</t>
        </is>
      </c>
      <c r="K17" s="5" t="inlineStr">
        <is>
          <t>PUBLISHED</t>
        </is>
      </c>
      <c r="L17" s="9" t="n">
        <v>871.5</v>
      </c>
      <c r="M17" s="6" t="n">
        <v>1</v>
      </c>
      <c r="N17" s="12" t="n">
        <v>1</v>
      </c>
      <c r="O17" s="6" t="n">
        <v>41</v>
      </c>
      <c r="P17" s="5" t="inlineStr">
        <is>
          <t>built</t>
        </is>
      </c>
      <c r="Q17" s="5" t="inlineStr">
        <is>
          <t>ACCEPTABLE</t>
        </is>
      </c>
      <c r="R17" s="7" t="n">
        <v>19.09</v>
      </c>
      <c r="S17" s="5" t="inlineStr">
        <is>
          <t>FAIR_VALUE</t>
        </is>
      </c>
      <c r="T17" s="5" t="inlineStr">
        <is>
          <t>UNKNOWN</t>
        </is>
      </c>
      <c r="U17" s="5" t="inlineStr">
        <is>
          <t>No</t>
        </is>
      </c>
      <c r="V17" s="5" t="n">
        <v>4</v>
      </c>
      <c r="W17" s="5" t="inlineStr">
        <is>
          <t>Yes</t>
        </is>
      </c>
      <c r="X17" s="5" t="inlineStr">
        <is>
          <t>UNKNOWN</t>
        </is>
      </c>
      <c r="Y17" s="5" t="inlineStr">
        <is>
          <t>UNKNOWN</t>
        </is>
      </c>
      <c r="Z17" s="5" t="inlineStr">
        <is>
          <t>UNKNOWN</t>
        </is>
      </c>
      <c r="AA17" s="5" t="inlineStr">
        <is>
          <t>UNKNOWN</t>
        </is>
      </c>
      <c r="AB17" s="5" t="inlineStr">
        <is>
          <t>UNKNOWN</t>
        </is>
      </c>
      <c r="AC17" s="5" t="inlineStr">
        <is>
          <t>LOW · conf. medium</t>
        </is>
      </c>
      <c r="AD17" s="6" t="n">
        <v>72</v>
      </c>
      <c r="AE17" s="8" t="inlineStr">
        <is>
          <t>Nearest major road (Av. Demo Arterial (DEMO)) 1827 m away; no nightclub mapped within 500 m. Quietness estimate: medium confidence.</t>
        </is>
      </c>
      <c r="AF17" s="6" t="n">
        <v>1827</v>
      </c>
      <c r="AG17" s="6" t="n">
        <v>1841</v>
      </c>
      <c r="AH17" s="6" t="n">
        <v>0</v>
      </c>
      <c r="AI17" s="8" t="inlineStr">
        <is>
          <t>supermarket 354 m, Malecón 404 m</t>
        </is>
      </c>
      <c r="AJ17" s="5" t="inlineStr">
        <is>
          <t>UNKNOWN</t>
        </is>
      </c>
      <c r="AK17" s="5" t="inlineStr">
        <is>
          <t>UNKNOWN</t>
        </is>
      </c>
      <c r="AL17" s="5" t="inlineStr">
        <is>
          <t>UNKNOWN</t>
        </is>
      </c>
      <c r="AM17" s="5" t="inlineStr">
        <is>
          <t>2026-08-03</t>
        </is>
      </c>
      <c r="AN17" s="5" t="inlineStr">
        <is>
          <t>LIKELY_ACTIVE</t>
        </is>
      </c>
      <c r="AO17" s="8" t="inlineStr">
        <is>
          <t>low estimated noise (72/100); balcony/terrace</t>
        </is>
      </c>
      <c r="AP17" s="8" t="inlineStr">
        <is>
          <t>no direct phone/WhatsApp — contact via portal</t>
        </is>
      </c>
      <c r="AQ17" s="8" t="inlineStr">
        <is>
          <t>INCOMPLETE_CONTACT; PRICE_CONVERTED_FROM_PEN</t>
        </is>
      </c>
      <c r="AR17" s="5" t="inlineStr">
        <is>
          <t>DEMO Agente H</t>
        </is>
      </c>
      <c r="AS17" s="5" t="inlineStr">
        <is>
          <t>UNKNOWN</t>
        </is>
      </c>
      <c r="AT17" s="5" t="inlineStr">
        <is>
          <t>Urbania</t>
        </is>
      </c>
      <c r="AU17" s="6" t="n">
        <v>1</v>
      </c>
      <c r="AV17" s="5" t="inlineStr">
        <is>
          <t>G0003</t>
        </is>
      </c>
      <c r="AW17" s="5" t="inlineStr"/>
      <c r="AX17" s="10" t="inlineStr">
        <is>
          <t>View listing</t>
        </is>
      </c>
      <c r="AY17" s="5" t="inlineStr">
        <is>
          <t>—</t>
        </is>
      </c>
      <c r="AZ17" s="10" t="inlineStr">
        <is>
          <t>Open map</t>
        </is>
      </c>
      <c r="BA17" s="5" t="inlineStr">
        <is>
          <t>LISTING / EXACT</t>
        </is>
      </c>
      <c r="BB17" s="5" t="inlineStr">
        <is>
          <t>PROGRAMMATIC_PASS</t>
        </is>
      </c>
      <c r="BC17" s="5" t="inlineStr"/>
    </row>
    <row r="18">
      <c r="A18" s="6" t="n">
        <v>14</v>
      </c>
      <c r="B18" s="7" t="n">
        <v>63.4</v>
      </c>
      <c r="C18" s="8" t="inlineStr">
        <is>
          <t>2BR · 55 m² — Calle Ejemplo 115 (DEMO)</t>
        </is>
      </c>
      <c r="D18" s="5" t="inlineStr">
        <is>
          <t>PRIMARY</t>
        </is>
      </c>
      <c r="E18" s="5" t="inlineStr"/>
      <c r="F18" s="9" t="n">
        <v>890</v>
      </c>
      <c r="G18" s="5" t="inlineStr">
        <is>
          <t>USD 890</t>
        </is>
      </c>
      <c r="H18" s="5" t="inlineStr">
        <is>
          <t>PUBLISHED</t>
        </is>
      </c>
      <c r="I18" s="11" t="n">
        <v>3012.65</v>
      </c>
      <c r="J18" s="5" t="inlineStr">
        <is>
          <t>S/ 500 (≈ USD 148)</t>
        </is>
      </c>
      <c r="K18" s="5" t="inlineStr">
        <is>
          <t>PUBLISHED</t>
        </is>
      </c>
      <c r="L18" s="9" t="n">
        <v>1037.71</v>
      </c>
      <c r="M18" s="6" t="n">
        <v>2</v>
      </c>
      <c r="N18" s="12" t="n">
        <v>2</v>
      </c>
      <c r="O18" s="6" t="n">
        <v>55</v>
      </c>
      <c r="P18" s="5" t="inlineStr">
        <is>
          <t>built</t>
        </is>
      </c>
      <c r="Q18" s="5" t="inlineStr">
        <is>
          <t>ACCEPTABLE</t>
        </is>
      </c>
      <c r="R18" s="7" t="n">
        <v>16.18</v>
      </c>
      <c r="S18" s="8" t="inlineStr">
        <is>
          <t>EXPENSIVE_RELATIVE_TO_SAMPLE</t>
        </is>
      </c>
      <c r="T18" s="5" t="inlineStr">
        <is>
          <t>UNKNOWN</t>
        </is>
      </c>
      <c r="U18" s="5" t="inlineStr">
        <is>
          <t>UNKNOWN</t>
        </is>
      </c>
      <c r="V18" s="5" t="inlineStr">
        <is>
          <t>UNKNOWN</t>
        </is>
      </c>
      <c r="W18" s="5" t="inlineStr">
        <is>
          <t>UNKNOWN</t>
        </is>
      </c>
      <c r="X18" s="5" t="inlineStr">
        <is>
          <t>Yes</t>
        </is>
      </c>
      <c r="Y18" s="5" t="inlineStr">
        <is>
          <t>Yes</t>
        </is>
      </c>
      <c r="Z18" s="5" t="inlineStr">
        <is>
          <t>Yes</t>
        </is>
      </c>
      <c r="AA18" s="5" t="inlineStr">
        <is>
          <t>UNKNOWN</t>
        </is>
      </c>
      <c r="AB18" s="5" t="inlineStr">
        <is>
          <t>Yes</t>
        </is>
      </c>
      <c r="AC18" s="5" t="inlineStr">
        <is>
          <t>LOW · conf. high</t>
        </is>
      </c>
      <c r="AD18" s="6" t="n">
        <v>97</v>
      </c>
      <c r="AE18" s="8" t="inlineStr">
        <is>
          <t>Nearest major road (Av. Demo Arterial (DEMO)) 1513 m away; no nightclub mapped within 500 m; listing says interior-facing / contrafrente; acoustic / double-glazed windows mentioned; seller describes the street as quiet (unverified claim). Quietness estimate: high confidence.</t>
        </is>
      </c>
      <c r="AF18" s="6" t="n">
        <v>1513</v>
      </c>
      <c r="AG18" s="6" t="n">
        <v>1433</v>
      </c>
      <c r="AH18" s="6" t="n">
        <v>0</v>
      </c>
      <c r="AI18" s="5" t="inlineStr">
        <is>
          <t>Malecón 718 m</t>
        </is>
      </c>
      <c r="AJ18" s="5" t="inlineStr">
        <is>
          <t>12 months min.</t>
        </is>
      </c>
      <c r="AK18" s="8" t="inlineStr">
        <is>
          <t>2 months deposit; 1 in advance</t>
        </is>
      </c>
      <c r="AL18" s="5" t="inlineStr">
        <is>
          <t>UNKNOWN</t>
        </is>
      </c>
      <c r="AM18" s="5" t="inlineStr">
        <is>
          <t>2026-09-03</t>
        </is>
      </c>
      <c r="AN18" s="5" t="inlineStr">
        <is>
          <t>LIKELY_ACTIVE</t>
        </is>
      </c>
      <c r="AO18" s="8" t="inlineStr">
        <is>
          <t>low estimated noise (97/100); interior-facing; acoustic/double-glazed windows</t>
        </is>
      </c>
      <c r="AP18" s="8" t="inlineStr">
        <is>
          <t>rent + maintenance ≈ USD 1,038 (USD 890 rent + S/ 500 maintenance) exceeds USD 1,000</t>
        </is>
      </c>
      <c r="AQ18" s="8" t="inlineStr">
        <is>
          <t>TOTAL_COST_OVER_BUDGET</t>
        </is>
      </c>
      <c r="AR18" s="8" t="inlineStr">
        <is>
          <t>DEMO Inmobiliaria A</t>
        </is>
      </c>
      <c r="AS18" s="5" t="inlineStr">
        <is>
          <t>+5110001015</t>
        </is>
      </c>
      <c r="AT18" s="5" t="inlineStr">
        <is>
          <t>Adondevivir</t>
        </is>
      </c>
      <c r="AU18" s="6" t="n">
        <v>1</v>
      </c>
      <c r="AV18" s="5" t="inlineStr">
        <is>
          <t>G0016</t>
        </is>
      </c>
      <c r="AW18" s="5" t="inlineStr"/>
      <c r="AX18" s="10" t="inlineStr">
        <is>
          <t>View listing</t>
        </is>
      </c>
      <c r="AY18" s="5" t="inlineStr">
        <is>
          <t>—</t>
        </is>
      </c>
      <c r="AZ18" s="10" t="inlineStr">
        <is>
          <t>Open map</t>
        </is>
      </c>
      <c r="BA18" s="5" t="inlineStr">
        <is>
          <t>LISTING / EXACT</t>
        </is>
      </c>
      <c r="BB18" s="5" t="inlineStr">
        <is>
          <t>PROGRAMMATIC_PASS</t>
        </is>
      </c>
      <c r="BC18" s="5" t="inlineStr"/>
    </row>
    <row r="19">
      <c r="A19" s="6" t="n">
        <v>15</v>
      </c>
      <c r="B19" s="7" t="n">
        <v>63</v>
      </c>
      <c r="C19" s="8" t="inlineStr">
        <is>
          <t>2BR · 98 m² — Av. Ejemplo 205 (DEMO)</t>
        </is>
      </c>
      <c r="D19" s="5" t="inlineStr">
        <is>
          <t>PRIMARY</t>
        </is>
      </c>
      <c r="E19" s="5" t="inlineStr"/>
      <c r="F19" s="9" t="n">
        <v>856.72</v>
      </c>
      <c r="G19" s="5" t="inlineStr">
        <is>
          <t>PEN 2,900</t>
        </is>
      </c>
      <c r="H19" s="5" t="inlineStr">
        <is>
          <t>CALCULATED</t>
        </is>
      </c>
      <c r="I19" s="11" t="n">
        <v>2900</v>
      </c>
      <c r="J19" s="5" t="inlineStr">
        <is>
          <t>S/ 500 (≈ USD 148)</t>
        </is>
      </c>
      <c r="K19" s="5" t="inlineStr">
        <is>
          <t>PUBLISHED</t>
        </is>
      </c>
      <c r="L19" s="9" t="n">
        <v>1004.43</v>
      </c>
      <c r="M19" s="6" t="n">
        <v>2</v>
      </c>
      <c r="N19" s="12" t="n">
        <v>2</v>
      </c>
      <c r="O19" s="6" t="n">
        <v>98</v>
      </c>
      <c r="P19" s="5" t="inlineStr">
        <is>
          <t>built</t>
        </is>
      </c>
      <c r="Q19" s="5" t="inlineStr">
        <is>
          <t>VERY_SPACIOUS</t>
        </is>
      </c>
      <c r="R19" s="7" t="n">
        <v>8.74</v>
      </c>
      <c r="S19" s="5" t="inlineStr">
        <is>
          <t>EXCELLENT_VALUE</t>
        </is>
      </c>
      <c r="T19" s="5" t="inlineStr">
        <is>
          <t>Yes</t>
        </is>
      </c>
      <c r="U19" s="5" t="inlineStr">
        <is>
          <t>Yes (1)</t>
        </is>
      </c>
      <c r="V19" s="5" t="inlineStr">
        <is>
          <t>UNKNOWN</t>
        </is>
      </c>
      <c r="W19" s="5" t="inlineStr">
        <is>
          <t>UNKNOWN</t>
        </is>
      </c>
      <c r="X19" s="5" t="inlineStr">
        <is>
          <t>Yes</t>
        </is>
      </c>
      <c r="Y19" s="5" t="inlineStr">
        <is>
          <t>Yes</t>
        </is>
      </c>
      <c r="Z19" s="5" t="inlineStr">
        <is>
          <t>Yes</t>
        </is>
      </c>
      <c r="AA19" s="5" t="inlineStr">
        <is>
          <t>UNKNOWN</t>
        </is>
      </c>
      <c r="AB19" s="5" t="inlineStr">
        <is>
          <t>Yes</t>
        </is>
      </c>
      <c r="AC19" s="5" t="inlineStr">
        <is>
          <t>HIGH · conf. low</t>
        </is>
      </c>
      <c r="AD19" s="6" t="n">
        <v>44</v>
      </c>
      <c r="AE19" s="8" t="inlineStr">
        <is>
          <t>41 m from Av. Demo Arterial (DEMO) (major road); 32 m from Calle Demo Secundaria (DEMO); nightclub 'Discoteca Demo (DEMO)' 187 m away; 1 bar(s) within 150 m; listing says interior-facing / contrafrente; acoustic / double-glazed windows mentioned. Quietness estimate: low confidence.</t>
        </is>
      </c>
      <c r="AF19" s="6" t="n">
        <v>41</v>
      </c>
      <c r="AG19" s="6" t="n">
        <v>187</v>
      </c>
      <c r="AH19" s="6" t="n">
        <v>1</v>
      </c>
      <c r="AI19" s="8" t="inlineStr">
        <is>
          <t>bus/Metropolitano stop 264 m</t>
        </is>
      </c>
      <c r="AJ19" s="5" t="inlineStr">
        <is>
          <t>12 months min.</t>
        </is>
      </c>
      <c r="AK19" s="8" t="inlineStr">
        <is>
          <t>2 months deposit; 1 in advance</t>
        </is>
      </c>
      <c r="AL19" s="5" t="inlineStr">
        <is>
          <t>UNKNOWN</t>
        </is>
      </c>
      <c r="AM19" s="5" t="inlineStr">
        <is>
          <t>2026-08-27</t>
        </is>
      </c>
      <c r="AN19" s="5" t="inlineStr">
        <is>
          <t>LIKELY_ACTIVE</t>
        </is>
      </c>
      <c r="AO19" s="8" t="inlineStr">
        <is>
          <t>98 m² built area — very spacious for a 2-bedroom; interior-facing; acoustic/double-glazed windows</t>
        </is>
      </c>
      <c r="AP19" s="8" t="inlineStr">
        <is>
          <t>high estimated noise: 41 m from Av. Demo Arterial (DEMO) (major road)</t>
        </is>
      </c>
      <c r="AQ19" s="8" t="inlineStr">
        <is>
          <t>APPROXIMATE_LOCATION; DIRECT_MAJOR_AVENUE; HIGH_NOISE_RISK; INCOMPLETE_CONTACT; NIGHTLIFE_PROXIMITY; PRICE_CONVERTED_FROM_PEN; TOTAL_COST_OVER_BUDGET</t>
        </is>
      </c>
      <c r="AR19" s="5" t="inlineStr">
        <is>
          <t>DEMO Agente G</t>
        </is>
      </c>
      <c r="AS19" s="5" t="inlineStr">
        <is>
          <t>UNKNOWN</t>
        </is>
      </c>
      <c r="AT19" s="5" t="inlineStr">
        <is>
          <t>Adondevivir</t>
        </is>
      </c>
      <c r="AU19" s="6" t="n">
        <v>1</v>
      </c>
      <c r="AV19" s="5" t="inlineStr">
        <is>
          <t>G0006</t>
        </is>
      </c>
      <c r="AW19" s="5" t="inlineStr"/>
      <c r="AX19" s="10" t="inlineStr">
        <is>
          <t>View listing</t>
        </is>
      </c>
      <c r="AY19" s="5" t="inlineStr">
        <is>
          <t>—</t>
        </is>
      </c>
      <c r="AZ19" s="10" t="inlineStr">
        <is>
          <t>Open map</t>
        </is>
      </c>
      <c r="BA19" s="8" t="inlineStr">
        <is>
          <t>LISTING / APPROXIMATE</t>
        </is>
      </c>
      <c r="BB19" s="5" t="inlineStr">
        <is>
          <t>PROGRAMMATIC_PASS</t>
        </is>
      </c>
      <c r="BC19" s="5" t="inlineStr"/>
    </row>
    <row r="20">
      <c r="A20" s="6" t="n">
        <v>16</v>
      </c>
      <c r="B20" s="7" t="n">
        <v>62.9</v>
      </c>
      <c r="C20" s="8" t="inlineStr">
        <is>
          <t>2BR · 97 m² — Calle Ejemplo 106 (DEMO)</t>
        </is>
      </c>
      <c r="D20" s="5" t="inlineStr">
        <is>
          <t>PRIMARY</t>
        </is>
      </c>
      <c r="E20" s="5" t="inlineStr"/>
      <c r="F20" s="9" t="n">
        <v>970</v>
      </c>
      <c r="G20" s="5" t="inlineStr">
        <is>
          <t>USD 970</t>
        </is>
      </c>
      <c r="H20" s="5" t="inlineStr">
        <is>
          <t>PUBLISHED</t>
        </is>
      </c>
      <c r="I20" s="11" t="n">
        <v>3283.45</v>
      </c>
      <c r="J20" s="5" t="inlineStr">
        <is>
          <t>S/ 500 (≈ USD 148)</t>
        </is>
      </c>
      <c r="K20" s="5" t="inlineStr">
        <is>
          <t>PUBLISHED</t>
        </is>
      </c>
      <c r="L20" s="9" t="n">
        <v>1117.71</v>
      </c>
      <c r="M20" s="6" t="n">
        <v>2</v>
      </c>
      <c r="N20" s="12" t="n">
        <v>2</v>
      </c>
      <c r="O20" s="6" t="n">
        <v>97</v>
      </c>
      <c r="P20" s="5" t="inlineStr">
        <is>
          <t>built</t>
        </is>
      </c>
      <c r="Q20" s="5" t="inlineStr">
        <is>
          <t>VERY_SPACIOUS</t>
        </is>
      </c>
      <c r="R20" s="7" t="n">
        <v>10</v>
      </c>
      <c r="S20" s="5" t="inlineStr">
        <is>
          <t>EXCELLENT_VALUE</t>
        </is>
      </c>
      <c r="T20" s="5" t="inlineStr">
        <is>
          <t>Yes</t>
        </is>
      </c>
      <c r="U20" s="5" t="inlineStr">
        <is>
          <t>UNKNOWN</t>
        </is>
      </c>
      <c r="V20" s="5" t="n">
        <v>14</v>
      </c>
      <c r="W20" s="5" t="inlineStr">
        <is>
          <t>Yes</t>
        </is>
      </c>
      <c r="X20" s="5" t="inlineStr">
        <is>
          <t>UNKNOWN</t>
        </is>
      </c>
      <c r="Y20" s="5" t="inlineStr">
        <is>
          <t>Yes</t>
        </is>
      </c>
      <c r="Z20" s="5" t="inlineStr">
        <is>
          <t>Yes</t>
        </is>
      </c>
      <c r="AA20" s="5" t="inlineStr">
        <is>
          <t>UNKNOWN</t>
        </is>
      </c>
      <c r="AB20" s="5" t="inlineStr">
        <is>
          <t>UNKNOWN</t>
        </is>
      </c>
      <c r="AC20" s="8" t="inlineStr">
        <is>
          <t>MEDIUM · conf. medium</t>
        </is>
      </c>
      <c r="AD20" s="6" t="n">
        <v>60</v>
      </c>
      <c r="AE20" s="8" t="inlineStr">
        <is>
          <t>97 m from Vía Demo Expresa (DEMO) (major road); no nightclub mapped within 500 m; high floor (14). Quietness estimate: medium confidence.</t>
        </is>
      </c>
      <c r="AF20" s="6" t="n">
        <v>97</v>
      </c>
      <c r="AG20" s="6" t="n">
        <v>1837</v>
      </c>
      <c r="AH20" s="6" t="n">
        <v>0</v>
      </c>
      <c r="AI20" s="5" t="inlineStr">
        <is>
          <t>UNKNOWN</t>
        </is>
      </c>
      <c r="AJ20" s="5" t="inlineStr">
        <is>
          <t>UNKNOWN</t>
        </is>
      </c>
      <c r="AK20" s="5" t="inlineStr">
        <is>
          <t>UNKNOWN</t>
        </is>
      </c>
      <c r="AL20" s="5" t="inlineStr">
        <is>
          <t>UNKNOWN</t>
        </is>
      </c>
      <c r="AM20" s="5" t="inlineStr">
        <is>
          <t>2026-09-05</t>
        </is>
      </c>
      <c r="AN20" s="5" t="inlineStr">
        <is>
          <t>LIKELY_ACTIVE</t>
        </is>
      </c>
      <c r="AO20" s="8" t="inlineStr">
        <is>
          <t>97 m² built area — very spacious for a 2-bedroom; USD 10.0/m² (excellent value vs other 2BR in sample); furnished</t>
        </is>
      </c>
      <c r="AP20" s="8" t="inlineStr">
        <is>
          <t>rent + maintenance ≈ USD 1,118 (USD 970 rent + S/ 500 maintenance) exceeds USD 1,000</t>
        </is>
      </c>
      <c r="AQ20" s="8" t="inlineStr">
        <is>
          <t>TOTAL_COST_OVER_BUDGET</t>
        </is>
      </c>
      <c r="AR20" s="8" t="inlineStr">
        <is>
          <t>DEMO Inmobiliaria B</t>
        </is>
      </c>
      <c r="AS20" s="5" t="inlineStr">
        <is>
          <t>+5110001006</t>
        </is>
      </c>
      <c r="AT20" s="5" t="inlineStr">
        <is>
          <t>Urbania</t>
        </is>
      </c>
      <c r="AU20" s="6" t="n">
        <v>1</v>
      </c>
      <c r="AV20" s="5" t="inlineStr">
        <is>
          <t>G0007</t>
        </is>
      </c>
      <c r="AW20" s="5" t="inlineStr"/>
      <c r="AX20" s="10" t="inlineStr">
        <is>
          <t>View listing</t>
        </is>
      </c>
      <c r="AY20" s="5" t="inlineStr">
        <is>
          <t>—</t>
        </is>
      </c>
      <c r="AZ20" s="10" t="inlineStr">
        <is>
          <t>Open map</t>
        </is>
      </c>
      <c r="BA20" s="5" t="inlineStr">
        <is>
          <t>LISTING / EXACT</t>
        </is>
      </c>
      <c r="BB20" s="5" t="inlineStr">
        <is>
          <t>PROGRAMMATIC_PASS</t>
        </is>
      </c>
      <c r="BC20" s="5" t="inlineStr"/>
    </row>
    <row r="21">
      <c r="A21" s="6" t="n">
        <v>17</v>
      </c>
      <c r="B21" s="7" t="n">
        <v>62</v>
      </c>
      <c r="C21" s="8" t="inlineStr">
        <is>
          <t>2BR · 63 m² — Av. Ejemplo 216 (DEMO)</t>
        </is>
      </c>
      <c r="D21" s="5" t="inlineStr">
        <is>
          <t>PRIMARY</t>
        </is>
      </c>
      <c r="E21" s="5" t="inlineStr"/>
      <c r="F21" s="9" t="n">
        <v>886.26</v>
      </c>
      <c r="G21" s="5" t="inlineStr">
        <is>
          <t>PEN 3,000</t>
        </is>
      </c>
      <c r="H21" s="5" t="inlineStr">
        <is>
          <t>CALCULATED</t>
        </is>
      </c>
      <c r="I21" s="11" t="n">
        <v>3000</v>
      </c>
      <c r="J21" s="5" t="inlineStr">
        <is>
          <t>S/ 500 (≈ USD 148)</t>
        </is>
      </c>
      <c r="K21" s="5" t="inlineStr">
        <is>
          <t>PUBLISHED</t>
        </is>
      </c>
      <c r="L21" s="9" t="n">
        <v>1033.97</v>
      </c>
      <c r="M21" s="6" t="n">
        <v>2</v>
      </c>
      <c r="N21" s="12" t="n">
        <v>2</v>
      </c>
      <c r="O21" s="6" t="n">
        <v>63</v>
      </c>
      <c r="P21" s="5" t="inlineStr">
        <is>
          <t>built</t>
        </is>
      </c>
      <c r="Q21" s="5" t="inlineStr">
        <is>
          <t>ACCEPTABLE</t>
        </is>
      </c>
      <c r="R21" s="7" t="n">
        <v>14.07</v>
      </c>
      <c r="S21" s="5" t="inlineStr">
        <is>
          <t>FAIR_VALUE</t>
        </is>
      </c>
      <c r="T21" s="5" t="inlineStr">
        <is>
          <t>Yes</t>
        </is>
      </c>
      <c r="U21" s="5" t="inlineStr">
        <is>
          <t>Yes (1)</t>
        </is>
      </c>
      <c r="V21" s="5" t="inlineStr">
        <is>
          <t>UNKNOWN</t>
        </is>
      </c>
      <c r="W21" s="5" t="inlineStr">
        <is>
          <t>UNKNOWN</t>
        </is>
      </c>
      <c r="X21" s="5" t="inlineStr">
        <is>
          <t>UNKNOWN</t>
        </is>
      </c>
      <c r="Y21" s="5" t="inlineStr">
        <is>
          <t>UNKNOWN</t>
        </is>
      </c>
      <c r="Z21" s="5" t="inlineStr">
        <is>
          <t>Yes</t>
        </is>
      </c>
      <c r="AA21" s="5" t="inlineStr">
        <is>
          <t>UNKNOWN</t>
        </is>
      </c>
      <c r="AB21" s="5" t="inlineStr">
        <is>
          <t>UNKNOWN</t>
        </is>
      </c>
      <c r="AC21" s="5" t="inlineStr">
        <is>
          <t>MEDIUM · conf. low</t>
        </is>
      </c>
      <c r="AD21" s="6" t="n">
        <v>60</v>
      </c>
      <c r="AE21" s="8" t="inlineStr">
        <is>
          <t>Nearest major road (Av. Demo Arterial (DEMO)) 1626 m away; no nightclub mapped within 500 m; listing says it faces an avenue; portal location is approximate. Quietness estimate: low confidence.</t>
        </is>
      </c>
      <c r="AF21" s="6" t="n">
        <v>1626</v>
      </c>
      <c r="AG21" s="6" t="n">
        <v>1688</v>
      </c>
      <c r="AH21" s="6" t="n">
        <v>0</v>
      </c>
      <c r="AI21" s="8" t="inlineStr">
        <is>
          <t>supermarket 364 m, café 273 m, Malecón 605 m</t>
        </is>
      </c>
      <c r="AJ21" s="5" t="inlineStr">
        <is>
          <t>UNKNOWN</t>
        </is>
      </c>
      <c r="AK21" s="5" t="inlineStr">
        <is>
          <t>UNKNOWN</t>
        </is>
      </c>
      <c r="AL21" s="5" t="inlineStr">
        <is>
          <t>UNKNOWN</t>
        </is>
      </c>
      <c r="AM21" s="5" t="inlineStr">
        <is>
          <t>2026-08-09</t>
        </is>
      </c>
      <c r="AN21" s="5" t="inlineStr">
        <is>
          <t>LIKELY_ACTIVE</t>
        </is>
      </c>
      <c r="AO21" s="8" t="inlineStr">
        <is>
          <t>furnished; building security/controlled access</t>
        </is>
      </c>
      <c r="AP21" s="8" t="inlineStr">
        <is>
          <t>listing says the unit faces an avenue</t>
        </is>
      </c>
      <c r="AQ21" s="8" t="inlineStr">
        <is>
          <t>APPROXIMATE_LOCATION; DIRECT_MAJOR_AVENUE; INCOMPLETE_CONTACT; PRICE_CONVERTED_FROM_PEN; TOTAL_COST_OVER_BUDGET</t>
        </is>
      </c>
      <c r="AR21" s="5" t="inlineStr">
        <is>
          <t>DEMO Agente F</t>
        </is>
      </c>
      <c r="AS21" s="5" t="inlineStr">
        <is>
          <t>UNKNOWN</t>
        </is>
      </c>
      <c r="AT21" s="5" t="inlineStr">
        <is>
          <t>Urbania</t>
        </is>
      </c>
      <c r="AU21" s="6" t="n">
        <v>1</v>
      </c>
      <c r="AV21" s="5" t="inlineStr">
        <is>
          <t>G0017</t>
        </is>
      </c>
      <c r="AW21" s="5" t="inlineStr"/>
      <c r="AX21" s="10" t="inlineStr">
        <is>
          <t>View listing</t>
        </is>
      </c>
      <c r="AY21" s="5" t="inlineStr">
        <is>
          <t>—</t>
        </is>
      </c>
      <c r="AZ21" s="10" t="inlineStr">
        <is>
          <t>Open map</t>
        </is>
      </c>
      <c r="BA21" s="8" t="inlineStr">
        <is>
          <t>LISTING / APPROXIMATE</t>
        </is>
      </c>
      <c r="BB21" s="5" t="inlineStr">
        <is>
          <t>PROGRAMMATIC_PASS</t>
        </is>
      </c>
      <c r="BC21" s="5" t="inlineStr"/>
    </row>
    <row r="22">
      <c r="A22" s="6" t="n">
        <v>18</v>
      </c>
      <c r="B22" s="7" t="n">
        <v>60.8</v>
      </c>
      <c r="C22" s="8" t="inlineStr">
        <is>
          <t>1BR · 58 m² — Av. Ejemplo 231 (DEMO)</t>
        </is>
      </c>
      <c r="D22" s="5" t="inlineStr">
        <is>
          <t>PRIMARY</t>
        </is>
      </c>
      <c r="E22" s="5" t="inlineStr"/>
      <c r="F22" s="9" t="n">
        <v>797.64</v>
      </c>
      <c r="G22" s="5" t="inlineStr">
        <is>
          <t>PEN 2,700</t>
        </is>
      </c>
      <c r="H22" s="5" t="inlineStr">
        <is>
          <t>CALCULATED</t>
        </is>
      </c>
      <c r="I22" s="11" t="n">
        <v>2700</v>
      </c>
      <c r="J22" s="5" t="inlineStr">
        <is>
          <t>S/ 420 (≈ USD 124)</t>
        </is>
      </c>
      <c r="K22" s="5" t="inlineStr">
        <is>
          <t>PUBLISHED</t>
        </is>
      </c>
      <c r="L22" s="9" t="n">
        <v>921.72</v>
      </c>
      <c r="M22" s="6" t="n">
        <v>1</v>
      </c>
      <c r="N22" s="12" t="n">
        <v>1</v>
      </c>
      <c r="O22" s="6" t="n">
        <v>58</v>
      </c>
      <c r="P22" s="5" t="inlineStr">
        <is>
          <t>built</t>
        </is>
      </c>
      <c r="Q22" s="5" t="inlineStr">
        <is>
          <t>GOOD</t>
        </is>
      </c>
      <c r="R22" s="7" t="n">
        <v>13.75</v>
      </c>
      <c r="S22" s="5" t="inlineStr">
        <is>
          <t>EXCELLENT_VALUE</t>
        </is>
      </c>
      <c r="T22" s="5" t="inlineStr">
        <is>
          <t>Semi</t>
        </is>
      </c>
      <c r="U22" s="5" t="inlineStr">
        <is>
          <t>Yes (1)</t>
        </is>
      </c>
      <c r="V22" s="5" t="inlineStr">
        <is>
          <t>UNKNOWN</t>
        </is>
      </c>
      <c r="W22" s="5" t="inlineStr">
        <is>
          <t>UNKNOWN</t>
        </is>
      </c>
      <c r="X22" s="5" t="inlineStr">
        <is>
          <t>Yes</t>
        </is>
      </c>
      <c r="Y22" s="5" t="inlineStr">
        <is>
          <t>Yes</t>
        </is>
      </c>
      <c r="Z22" s="5" t="inlineStr">
        <is>
          <t>Yes</t>
        </is>
      </c>
      <c r="AA22" s="5" t="inlineStr">
        <is>
          <t>UNKNOWN</t>
        </is>
      </c>
      <c r="AB22" s="5" t="inlineStr">
        <is>
          <t>Yes</t>
        </is>
      </c>
      <c r="AC22" s="5" t="inlineStr">
        <is>
          <t>HIGH · conf. low</t>
        </is>
      </c>
      <c r="AD22" s="6" t="n">
        <v>40</v>
      </c>
      <c r="AE22" s="8" t="inlineStr">
        <is>
          <t>75 m from Av. Demo Arterial (DEMO) (major road); nightclub 'Discoteca Demo (DEMO)' 75 m away; 5 bars/pubs within 150 m; 14 restaurants within 150 m (busy frontage); listing says interior-facing / contrafrente; acoustic / double-glazed windows mentioned. Quietness estimate: low confidence.</t>
        </is>
      </c>
      <c r="AF22" s="6" t="n">
        <v>75</v>
      </c>
      <c r="AG22" s="6" t="n">
        <v>75</v>
      </c>
      <c r="AH22" s="6" t="n">
        <v>5</v>
      </c>
      <c r="AI22" s="8" t="inlineStr">
        <is>
          <t>bus/Metropolitano stop 114 m</t>
        </is>
      </c>
      <c r="AJ22" s="5" t="inlineStr">
        <is>
          <t>12 months min.</t>
        </is>
      </c>
      <c r="AK22" s="8" t="inlineStr">
        <is>
          <t>2 months deposit; 1 in advance</t>
        </is>
      </c>
      <c r="AL22" s="5" t="inlineStr">
        <is>
          <t>UNKNOWN</t>
        </is>
      </c>
      <c r="AM22" s="5" t="inlineStr">
        <is>
          <t>2026-08-03</t>
        </is>
      </c>
      <c r="AN22" s="5" t="inlineStr">
        <is>
          <t>LIKELY_ACTIVE</t>
        </is>
      </c>
      <c r="AO22" s="8" t="inlineStr">
        <is>
          <t>58 m² built area — good for a 1-bedroom; interior-facing; acoustic/double-glazed windows</t>
        </is>
      </c>
      <c r="AP22" s="8" t="inlineStr">
        <is>
          <t>high estimated noise: 75 m from Av. Demo Arterial (DEMO) (major road)</t>
        </is>
      </c>
      <c r="AQ22" s="8" t="inlineStr">
        <is>
          <t>APPROXIMATE_LOCATION; HIGH_NOISE_RISK; INCOMPLETE_CONTACT; NIGHTLIFE_PROXIMITY; PRICE_CONVERTED_FROM_PEN</t>
        </is>
      </c>
      <c r="AR22" s="5" t="inlineStr">
        <is>
          <t>DEMO Agente I</t>
        </is>
      </c>
      <c r="AS22" s="5" t="inlineStr">
        <is>
          <t>UNKNOWN</t>
        </is>
      </c>
      <c r="AT22" s="5" t="inlineStr">
        <is>
          <t>Adondevivir</t>
        </is>
      </c>
      <c r="AU22" s="6" t="n">
        <v>1</v>
      </c>
      <c r="AV22" s="5" t="inlineStr">
        <is>
          <t>G0032</t>
        </is>
      </c>
      <c r="AW22" s="5" t="inlineStr"/>
      <c r="AX22" s="10" t="inlineStr">
        <is>
          <t>View listing</t>
        </is>
      </c>
      <c r="AY22" s="5" t="inlineStr">
        <is>
          <t>—</t>
        </is>
      </c>
      <c r="AZ22" s="10" t="inlineStr">
        <is>
          <t>Open map</t>
        </is>
      </c>
      <c r="BA22" s="8" t="inlineStr">
        <is>
          <t>LISTING / APPROXIMATE</t>
        </is>
      </c>
      <c r="BB22" s="5" t="inlineStr">
        <is>
          <t>PROGRAMMATIC_PASS</t>
        </is>
      </c>
      <c r="BC22" s="5" t="inlineStr"/>
    </row>
    <row r="23">
      <c r="A23" s="6" t="n">
        <v>19</v>
      </c>
      <c r="B23" s="7" t="n">
        <v>59</v>
      </c>
      <c r="C23" s="8" t="inlineStr">
        <is>
          <t>2BR · 53 m² — Av. Ejemplo 223 (DEMO)</t>
        </is>
      </c>
      <c r="D23" s="5" t="inlineStr">
        <is>
          <t>PRIMARY</t>
        </is>
      </c>
      <c r="E23" s="5" t="inlineStr"/>
      <c r="F23" s="9" t="n">
        <v>960.12</v>
      </c>
      <c r="G23" s="5" t="inlineStr">
        <is>
          <t>PEN 3,250</t>
        </is>
      </c>
      <c r="H23" s="5" t="inlineStr">
        <is>
          <t>CALCULATED</t>
        </is>
      </c>
      <c r="I23" s="11" t="n">
        <v>3250</v>
      </c>
      <c r="J23" s="5" t="inlineStr">
        <is>
          <t>S/ 350 (≈ USD 103)</t>
        </is>
      </c>
      <c r="K23" s="5" t="inlineStr">
        <is>
          <t>PUBLISHED</t>
        </is>
      </c>
      <c r="L23" s="9" t="n">
        <v>1063.52</v>
      </c>
      <c r="M23" s="6" t="n">
        <v>2</v>
      </c>
      <c r="N23" s="12" t="n">
        <v>2</v>
      </c>
      <c r="O23" s="6" t="n">
        <v>53</v>
      </c>
      <c r="P23" s="5" t="inlineStr">
        <is>
          <t>built</t>
        </is>
      </c>
      <c r="Q23" s="5" t="inlineStr">
        <is>
          <t>SMALL</t>
        </is>
      </c>
      <c r="R23" s="7" t="n">
        <v>18.12</v>
      </c>
      <c r="S23" s="8" t="inlineStr">
        <is>
          <t>EXPENSIVE_RELATIVE_TO_SAMPLE</t>
        </is>
      </c>
      <c r="T23" s="5" t="inlineStr">
        <is>
          <t>Yes</t>
        </is>
      </c>
      <c r="U23" s="5" t="inlineStr">
        <is>
          <t>No</t>
        </is>
      </c>
      <c r="V23" s="5" t="inlineStr">
        <is>
          <t>UNKNOWN</t>
        </is>
      </c>
      <c r="W23" s="5" t="inlineStr">
        <is>
          <t>Yes</t>
        </is>
      </c>
      <c r="X23" s="5" t="inlineStr">
        <is>
          <t>UNKNOWN</t>
        </is>
      </c>
      <c r="Y23" s="5" t="inlineStr">
        <is>
          <t>UNKNOWN</t>
        </is>
      </c>
      <c r="Z23" s="5" t="inlineStr">
        <is>
          <t>Yes</t>
        </is>
      </c>
      <c r="AA23" s="5" t="inlineStr">
        <is>
          <t>Yes</t>
        </is>
      </c>
      <c r="AB23" s="5" t="inlineStr">
        <is>
          <t>UNKNOWN</t>
        </is>
      </c>
      <c r="AC23" s="5" t="inlineStr">
        <is>
          <t>LOW · conf. high</t>
        </is>
      </c>
      <c r="AD23" s="6" t="n">
        <v>72</v>
      </c>
      <c r="AE23" s="8" t="inlineStr">
        <is>
          <t>Nearest major road (Av. Demo Arterial (DEMO)) 790 m away; no nightclub mapped within 500 m. Quietness estimate: high confidence.</t>
        </is>
      </c>
      <c r="AF23" s="6" t="n">
        <v>790</v>
      </c>
      <c r="AG23" s="6" t="n">
        <v>1747</v>
      </c>
      <c r="AH23" s="6" t="n">
        <v>0</v>
      </c>
      <c r="AI23" s="5" t="inlineStr">
        <is>
          <t>supermarket 483 m</t>
        </is>
      </c>
      <c r="AJ23" s="5" t="inlineStr">
        <is>
          <t>12 months min.</t>
        </is>
      </c>
      <c r="AK23" s="5" t="inlineStr">
        <is>
          <t>2 months deposit</t>
        </is>
      </c>
      <c r="AL23" s="5" t="inlineStr">
        <is>
          <t>UNKNOWN</t>
        </is>
      </c>
      <c r="AM23" s="5" t="inlineStr">
        <is>
          <t>2026-09-17</t>
        </is>
      </c>
      <c r="AN23" s="5" t="inlineStr">
        <is>
          <t>LIKELY_ACTIVE</t>
        </is>
      </c>
      <c r="AO23" s="8" t="inlineStr">
        <is>
          <t>low estimated noise (72/100); furnished; building security/controlled access</t>
        </is>
      </c>
      <c r="AP23" s="8" t="inlineStr">
        <is>
          <t>rent + maintenance ≈ USD 1,064 (USD 960 rent + S/ 350 maintenance) exceeds USD 1,000</t>
        </is>
      </c>
      <c r="AQ23" s="8" t="inlineStr">
        <is>
          <t>INCOMPLETE_CONTACT; PRICE_CONVERTED_FROM_PEN; TOTAL_COST_OVER_BUDGET</t>
        </is>
      </c>
      <c r="AR23" s="5" t="inlineStr">
        <is>
          <t>DEMO Agente I</t>
        </is>
      </c>
      <c r="AS23" s="5" t="inlineStr">
        <is>
          <t>UNKNOWN</t>
        </is>
      </c>
      <c r="AT23" s="5" t="inlineStr">
        <is>
          <t>Adondevivir</t>
        </is>
      </c>
      <c r="AU23" s="6" t="n">
        <v>1</v>
      </c>
      <c r="AV23" s="5" t="inlineStr">
        <is>
          <t>G0024</t>
        </is>
      </c>
      <c r="AW23" s="5" t="inlineStr"/>
      <c r="AX23" s="10" t="inlineStr">
        <is>
          <t>View listing</t>
        </is>
      </c>
      <c r="AY23" s="5" t="inlineStr">
        <is>
          <t>—</t>
        </is>
      </c>
      <c r="AZ23" s="10" t="inlineStr">
        <is>
          <t>Open map</t>
        </is>
      </c>
      <c r="BA23" s="5" t="inlineStr">
        <is>
          <t>LISTING / EXACT</t>
        </is>
      </c>
      <c r="BB23" s="5" t="inlineStr">
        <is>
          <t>PROGRAMMATIC_PASS</t>
        </is>
      </c>
      <c r="BC23" s="5" t="inlineStr"/>
    </row>
    <row r="24">
      <c r="A24" s="6" t="n">
        <v>20</v>
      </c>
      <c r="B24" s="7" t="n">
        <v>58</v>
      </c>
      <c r="C24" s="8" t="inlineStr">
        <is>
          <t>1BR · 39 m² — Av. Ejemplo 220 (DEMO)</t>
        </is>
      </c>
      <c r="D24" s="5" t="inlineStr">
        <is>
          <t>PRIMARY</t>
        </is>
      </c>
      <c r="E24" s="5" t="inlineStr"/>
      <c r="F24" s="9" t="n">
        <v>812.41</v>
      </c>
      <c r="G24" s="5" t="inlineStr">
        <is>
          <t>PEN 2,750</t>
        </is>
      </c>
      <c r="H24" s="5" t="inlineStr">
        <is>
          <t>CALCULATED</t>
        </is>
      </c>
      <c r="I24" s="11" t="n">
        <v>2750</v>
      </c>
      <c r="J24" s="5" t="inlineStr">
        <is>
          <t>S/ 350 (≈ USD 103)</t>
        </is>
      </c>
      <c r="K24" s="5" t="inlineStr">
        <is>
          <t>PUBLISHED</t>
        </is>
      </c>
      <c r="L24" s="9" t="n">
        <v>915.8099999999999</v>
      </c>
      <c r="M24" s="6" t="n">
        <v>1</v>
      </c>
      <c r="N24" s="12" t="n">
        <v>1</v>
      </c>
      <c r="O24" s="6" t="n">
        <v>39</v>
      </c>
      <c r="P24" s="5" t="inlineStr">
        <is>
          <t>built</t>
        </is>
      </c>
      <c r="Q24" s="5" t="inlineStr">
        <is>
          <t>SMALL</t>
        </is>
      </c>
      <c r="R24" s="7" t="n">
        <v>20.83</v>
      </c>
      <c r="S24" s="8" t="inlineStr">
        <is>
          <t>EXPENSIVE_RELATIVE_TO_SAMPLE</t>
        </is>
      </c>
      <c r="T24" s="5" t="inlineStr">
        <is>
          <t>Yes</t>
        </is>
      </c>
      <c r="U24" s="5" t="inlineStr">
        <is>
          <t>Yes (1)</t>
        </is>
      </c>
      <c r="V24" s="5" t="n">
        <v>1</v>
      </c>
      <c r="W24" s="5" t="inlineStr">
        <is>
          <t>Yes</t>
        </is>
      </c>
      <c r="X24" s="5" t="inlineStr">
        <is>
          <t>UNKNOWN</t>
        </is>
      </c>
      <c r="Y24" s="5" t="inlineStr">
        <is>
          <t>UNKNOWN</t>
        </is>
      </c>
      <c r="Z24" s="5" t="inlineStr">
        <is>
          <t>UNKNOWN</t>
        </is>
      </c>
      <c r="AA24" s="5" t="inlineStr">
        <is>
          <t>UNKNOWN</t>
        </is>
      </c>
      <c r="AB24" s="5" t="inlineStr">
        <is>
          <t>UNKNOWN</t>
        </is>
      </c>
      <c r="AC24" s="5" t="inlineStr">
        <is>
          <t>MEDIUM · conf. low</t>
        </is>
      </c>
      <c r="AD24" s="6" t="n">
        <v>57</v>
      </c>
      <c r="AE24" s="8" t="inlineStr">
        <is>
          <t>87 m from Vía Demo Expresa (DEMO) (major road); no nightclub mapped within 500 m; portal location is approximate. Quietness estimate: low confidence.</t>
        </is>
      </c>
      <c r="AF24" s="6" t="n">
        <v>87</v>
      </c>
      <c r="AG24" s="6" t="n">
        <v>1716</v>
      </c>
      <c r="AH24" s="6" t="n">
        <v>0</v>
      </c>
      <c r="AI24" s="5" t="inlineStr">
        <is>
          <t>UNKNOWN</t>
        </is>
      </c>
      <c r="AJ24" s="5" t="inlineStr">
        <is>
          <t>UNKNOWN</t>
        </is>
      </c>
      <c r="AK24" s="5" t="inlineStr">
        <is>
          <t>UNKNOWN</t>
        </is>
      </c>
      <c r="AL24" s="5" t="inlineStr">
        <is>
          <t>UNKNOWN</t>
        </is>
      </c>
      <c r="AM24" s="5" t="inlineStr">
        <is>
          <t>2026-08-26</t>
        </is>
      </c>
      <c r="AN24" s="5" t="inlineStr">
        <is>
          <t>LIKELY_ACTIVE</t>
        </is>
      </c>
      <c r="AO24" s="8" t="inlineStr">
        <is>
          <t>furnished; balcony/terrace</t>
        </is>
      </c>
      <c r="AP24" s="8" t="inlineStr">
        <is>
          <t>portal shows an approximate location only</t>
        </is>
      </c>
      <c r="AQ24" s="8" t="inlineStr">
        <is>
          <t>APPROXIMATE_LOCATION; INCOMPLETE_CONTACT; PRICE_CONVERTED_FROM_PEN</t>
        </is>
      </c>
      <c r="AR24" s="5" t="inlineStr">
        <is>
          <t>DEMO Agente F</t>
        </is>
      </c>
      <c r="AS24" s="5" t="inlineStr">
        <is>
          <t>UNKNOWN</t>
        </is>
      </c>
      <c r="AT24" s="5" t="inlineStr">
        <is>
          <t>Urbania</t>
        </is>
      </c>
      <c r="AU24" s="6" t="n">
        <v>1</v>
      </c>
      <c r="AV24" s="5" t="inlineStr">
        <is>
          <t>G0021</t>
        </is>
      </c>
      <c r="AW24" s="5" t="inlineStr"/>
      <c r="AX24" s="10" t="inlineStr">
        <is>
          <t>View listing</t>
        </is>
      </c>
      <c r="AY24" s="5" t="inlineStr">
        <is>
          <t>—</t>
        </is>
      </c>
      <c r="AZ24" s="10" t="inlineStr">
        <is>
          <t>Open map</t>
        </is>
      </c>
      <c r="BA24" s="8" t="inlineStr">
        <is>
          <t>LISTING / APPROXIMATE</t>
        </is>
      </c>
      <c r="BB24" s="5" t="inlineStr">
        <is>
          <t>PROGRAMMATIC_PASS</t>
        </is>
      </c>
      <c r="BC24" s="5" t="inlineStr"/>
    </row>
    <row r="25">
      <c r="A25" s="6" t="n">
        <v>21</v>
      </c>
      <c r="B25" s="7" t="n">
        <v>57.5</v>
      </c>
      <c r="C25" s="8" t="inlineStr">
        <is>
          <t>1BR · 40 m² — Av. Ejemplo 208 (DEMO)</t>
        </is>
      </c>
      <c r="D25" s="5" t="inlineStr">
        <is>
          <t>PRIMARY</t>
        </is>
      </c>
      <c r="E25" s="5" t="inlineStr"/>
      <c r="F25" s="9" t="n">
        <v>841.95</v>
      </c>
      <c r="G25" s="5" t="inlineStr">
        <is>
          <t>PEN 2,850</t>
        </is>
      </c>
      <c r="H25" s="5" t="inlineStr">
        <is>
          <t>CALCULATED</t>
        </is>
      </c>
      <c r="I25" s="11" t="n">
        <v>2850</v>
      </c>
      <c r="J25" s="5" t="inlineStr">
        <is>
          <t>S/ 500 (≈ USD 148)</t>
        </is>
      </c>
      <c r="K25" s="5" t="inlineStr">
        <is>
          <t>PUBLISHED</t>
        </is>
      </c>
      <c r="L25" s="9" t="n">
        <v>989.66</v>
      </c>
      <c r="M25" s="6" t="n">
        <v>1</v>
      </c>
      <c r="N25" s="12" t="n">
        <v>2</v>
      </c>
      <c r="O25" s="6" t="n">
        <v>40</v>
      </c>
      <c r="P25" s="5" t="inlineStr">
        <is>
          <t>built</t>
        </is>
      </c>
      <c r="Q25" s="5" t="inlineStr">
        <is>
          <t>ACCEPTABLE</t>
        </is>
      </c>
      <c r="R25" s="7" t="n">
        <v>21.05</v>
      </c>
      <c r="S25" s="8" t="inlineStr">
        <is>
          <t>EXPENSIVE_RELATIVE_TO_SAMPLE</t>
        </is>
      </c>
      <c r="T25" s="5" t="inlineStr">
        <is>
          <t>Semi</t>
        </is>
      </c>
      <c r="U25" s="5" t="inlineStr">
        <is>
          <t>No</t>
        </is>
      </c>
      <c r="V25" s="5" t="inlineStr">
        <is>
          <t>UNKNOWN</t>
        </is>
      </c>
      <c r="W25" s="5" t="inlineStr">
        <is>
          <t>UNKNOWN</t>
        </is>
      </c>
      <c r="X25" s="5" t="inlineStr">
        <is>
          <t>UNKNOWN</t>
        </is>
      </c>
      <c r="Y25" s="5" t="inlineStr">
        <is>
          <t>UNKNOWN</t>
        </is>
      </c>
      <c r="Z25" s="5" t="inlineStr">
        <is>
          <t>Yes</t>
        </is>
      </c>
      <c r="AA25" s="5" t="inlineStr">
        <is>
          <t>UNKNOWN</t>
        </is>
      </c>
      <c r="AB25" s="5" t="inlineStr">
        <is>
          <t>UNKNOWN</t>
        </is>
      </c>
      <c r="AC25" s="8" t="inlineStr">
        <is>
          <t>MEDIUM · conf. high</t>
        </is>
      </c>
      <c r="AD25" s="6" t="n">
        <v>60</v>
      </c>
      <c r="AE25" s="8" t="inlineStr">
        <is>
          <t>Nearest major road (Av. Demo Arterial (DEMO)) 645 m away; no nightclub mapped within 500 m; listing says it faces an avenue. Quietness estimate: high confidence.</t>
        </is>
      </c>
      <c r="AF25" s="6" t="n">
        <v>645</v>
      </c>
      <c r="AG25" s="6" t="n">
        <v>1156</v>
      </c>
      <c r="AH25" s="6" t="n">
        <v>0</v>
      </c>
      <c r="AI25" s="5" t="inlineStr">
        <is>
          <t>park 279 m</t>
        </is>
      </c>
      <c r="AJ25" s="5" t="inlineStr">
        <is>
          <t>UNKNOWN</t>
        </is>
      </c>
      <c r="AK25" s="5" t="inlineStr">
        <is>
          <t>UNKNOWN</t>
        </is>
      </c>
      <c r="AL25" s="5" t="inlineStr">
        <is>
          <t>UNKNOWN</t>
        </is>
      </c>
      <c r="AM25" s="5" t="inlineStr">
        <is>
          <t>2026-08-06</t>
        </is>
      </c>
      <c r="AN25" s="5" t="inlineStr">
        <is>
          <t>LIKELY_ACTIVE</t>
        </is>
      </c>
      <c r="AO25" s="8" t="inlineStr">
        <is>
          <t>building security/controlled access</t>
        </is>
      </c>
      <c r="AP25" s="8" t="inlineStr">
        <is>
          <t>listing says the unit faces an avenue</t>
        </is>
      </c>
      <c r="AQ25" s="8" t="inlineStr">
        <is>
          <t>DIRECT_MAJOR_AVENUE; INCOMPLETE_CONTACT; PRICE_CONVERTED_FROM_PEN</t>
        </is>
      </c>
      <c r="AR25" s="5" t="inlineStr">
        <is>
          <t>DEMO Agente F</t>
        </is>
      </c>
      <c r="AS25" s="5" t="inlineStr">
        <is>
          <t>UNKNOWN</t>
        </is>
      </c>
      <c r="AT25" s="5" t="inlineStr">
        <is>
          <t>Urbania</t>
        </is>
      </c>
      <c r="AU25" s="6" t="n">
        <v>1</v>
      </c>
      <c r="AV25" s="5" t="inlineStr">
        <is>
          <t>G0009</t>
        </is>
      </c>
      <c r="AW25" s="5" t="inlineStr"/>
      <c r="AX25" s="10" t="inlineStr">
        <is>
          <t>View listing</t>
        </is>
      </c>
      <c r="AY25" s="5" t="inlineStr">
        <is>
          <t>—</t>
        </is>
      </c>
      <c r="AZ25" s="10" t="inlineStr">
        <is>
          <t>Open map</t>
        </is>
      </c>
      <c r="BA25" s="5" t="inlineStr">
        <is>
          <t>LISTING / EXACT</t>
        </is>
      </c>
      <c r="BB25" s="5" t="inlineStr">
        <is>
          <t>PROGRAMMATIC_PASS</t>
        </is>
      </c>
      <c r="BC25" s="5" t="inlineStr"/>
    </row>
    <row r="26">
      <c r="A26" s="6" t="n">
        <v>22</v>
      </c>
      <c r="B26" s="7" t="n">
        <v>52.1</v>
      </c>
      <c r="C26" s="8" t="inlineStr">
        <is>
          <t>2BR · 64 m² — Av. Ejemplo 214 (DEMO)</t>
        </is>
      </c>
      <c r="D26" s="5" t="inlineStr">
        <is>
          <t>PRIMARY</t>
        </is>
      </c>
      <c r="E26" s="5" t="inlineStr"/>
      <c r="F26" s="9" t="n">
        <v>974.89</v>
      </c>
      <c r="G26" s="5" t="inlineStr">
        <is>
          <t>PEN 3,300</t>
        </is>
      </c>
      <c r="H26" s="5" t="inlineStr">
        <is>
          <t>CALCULATED</t>
        </is>
      </c>
      <c r="I26" s="11" t="n">
        <v>3300</v>
      </c>
      <c r="J26" s="5" t="inlineStr">
        <is>
          <t>S/ 420 (≈ USD 124)</t>
        </is>
      </c>
      <c r="K26" s="5" t="inlineStr">
        <is>
          <t>PUBLISHED</t>
        </is>
      </c>
      <c r="L26" s="9" t="n">
        <v>1098.97</v>
      </c>
      <c r="M26" s="6" t="n">
        <v>2</v>
      </c>
      <c r="N26" s="12" t="n">
        <v>2</v>
      </c>
      <c r="O26" s="6" t="n">
        <v>64</v>
      </c>
      <c r="P26" s="5" t="inlineStr">
        <is>
          <t>built</t>
        </is>
      </c>
      <c r="Q26" s="5" t="inlineStr">
        <is>
          <t>ACCEPTABLE</t>
        </is>
      </c>
      <c r="R26" s="7" t="n">
        <v>15.23</v>
      </c>
      <c r="S26" s="8" t="inlineStr">
        <is>
          <t>EXPENSIVE_RELATIVE_TO_SAMPLE</t>
        </is>
      </c>
      <c r="T26" s="5" t="inlineStr">
        <is>
          <t>No</t>
        </is>
      </c>
      <c r="U26" s="5" t="inlineStr">
        <is>
          <t>No</t>
        </is>
      </c>
      <c r="V26" s="5" t="inlineStr">
        <is>
          <t>UNKNOWN</t>
        </is>
      </c>
      <c r="W26" s="5" t="inlineStr">
        <is>
          <t>UNKNOWN</t>
        </is>
      </c>
      <c r="X26" s="5" t="inlineStr">
        <is>
          <t>UNKNOWN</t>
        </is>
      </c>
      <c r="Y26" s="5" t="inlineStr">
        <is>
          <t>UNKNOWN</t>
        </is>
      </c>
      <c r="Z26" s="5" t="inlineStr">
        <is>
          <t>Yes</t>
        </is>
      </c>
      <c r="AA26" s="5" t="inlineStr">
        <is>
          <t>UNKNOWN</t>
        </is>
      </c>
      <c r="AB26" s="5" t="inlineStr">
        <is>
          <t>UNKNOWN</t>
        </is>
      </c>
      <c r="AC26" s="5" t="inlineStr">
        <is>
          <t>MEDIUM · conf. low</t>
        </is>
      </c>
      <c r="AD26" s="6" t="n">
        <v>60</v>
      </c>
      <c r="AE26" s="8" t="inlineStr">
        <is>
          <t>Nearest major road (Av. Demo Arterial (DEMO)) 1980 m away; no nightclub mapped within 500 m; listing says it faces an avenue; portal location is approximate. Quietness estimate: low confidence.</t>
        </is>
      </c>
      <c r="AF26" s="6" t="n">
        <v>1980</v>
      </c>
      <c r="AG26" s="6" t="n">
        <v>2060</v>
      </c>
      <c r="AH26" s="6" t="n">
        <v>0</v>
      </c>
      <c r="AI26" s="8" t="inlineStr">
        <is>
          <t>park 108 m, Malecón 251 m</t>
        </is>
      </c>
      <c r="AJ26" s="5" t="inlineStr">
        <is>
          <t>UNKNOWN</t>
        </is>
      </c>
      <c r="AK26" s="5" t="inlineStr">
        <is>
          <t>UNKNOWN</t>
        </is>
      </c>
      <c r="AL26" s="5" t="inlineStr">
        <is>
          <t>UNKNOWN</t>
        </is>
      </c>
      <c r="AM26" s="5" t="inlineStr">
        <is>
          <t>2026-09-10</t>
        </is>
      </c>
      <c r="AN26" s="5" t="inlineStr">
        <is>
          <t>LIKELY_ACTIVE</t>
        </is>
      </c>
      <c r="AO26" s="8" t="inlineStr">
        <is>
          <t>building security/controlled access</t>
        </is>
      </c>
      <c r="AP26" s="8" t="inlineStr">
        <is>
          <t>listing says the unit faces an avenue</t>
        </is>
      </c>
      <c r="AQ26" s="8" t="inlineStr">
        <is>
          <t>APPROXIMATE_LOCATION; DIRECT_MAJOR_AVENUE; INCOMPLETE_CONTACT; NO_FURNITURE; PRICE_CONVERTED_FROM_PEN; TOTAL_COST_OVER_BUDGET</t>
        </is>
      </c>
      <c r="AR26" s="5" t="inlineStr">
        <is>
          <t>DEMO Agente H</t>
        </is>
      </c>
      <c r="AS26" s="5" t="inlineStr">
        <is>
          <t>UNKNOWN</t>
        </is>
      </c>
      <c r="AT26" s="5" t="inlineStr">
        <is>
          <t>Urbania</t>
        </is>
      </c>
      <c r="AU26" s="6" t="n">
        <v>1</v>
      </c>
      <c r="AV26" s="5" t="inlineStr">
        <is>
          <t>G0015</t>
        </is>
      </c>
      <c r="AW26" s="5" t="inlineStr"/>
      <c r="AX26" s="10" t="inlineStr">
        <is>
          <t>View listing</t>
        </is>
      </c>
      <c r="AY26" s="5" t="inlineStr">
        <is>
          <t>—</t>
        </is>
      </c>
      <c r="AZ26" s="10" t="inlineStr">
        <is>
          <t>Open map</t>
        </is>
      </c>
      <c r="BA26" s="8" t="inlineStr">
        <is>
          <t>LISTING / APPROXIMATE</t>
        </is>
      </c>
      <c r="BB26" s="5" t="inlineStr">
        <is>
          <t>PROGRAMMATIC_PASS</t>
        </is>
      </c>
      <c r="BC26" s="5" t="inlineStr"/>
    </row>
    <row r="27">
      <c r="A27" s="6" t="n">
        <v>23</v>
      </c>
      <c r="B27" s="7" t="n">
        <v>65.90000000000001</v>
      </c>
      <c r="C27" s="8" t="inlineStr">
        <is>
          <t>1BR · 62 m² — Calle Ejemplo 118 (DEMO)</t>
        </is>
      </c>
      <c r="D27" s="5" t="inlineStr">
        <is>
          <t>PRIMARY</t>
        </is>
      </c>
      <c r="E27" s="5" t="inlineStr"/>
      <c r="F27" s="9" t="n">
        <v>790</v>
      </c>
      <c r="G27" s="5" t="inlineStr">
        <is>
          <t>USD 790</t>
        </is>
      </c>
      <c r="H27" s="5" t="inlineStr">
        <is>
          <t>PUBLISHED</t>
        </is>
      </c>
      <c r="I27" s="11" t="n">
        <v>2674.15</v>
      </c>
      <c r="J27" s="5" t="inlineStr">
        <is>
          <t>S/ 300 (≈ USD 89)</t>
        </is>
      </c>
      <c r="K27" s="5" t="inlineStr">
        <is>
          <t>PUBLISHED</t>
        </is>
      </c>
      <c r="L27" s="9" t="n">
        <v>878.63</v>
      </c>
      <c r="M27" s="6" t="n">
        <v>1</v>
      </c>
      <c r="N27" s="12" t="n">
        <v>2</v>
      </c>
      <c r="O27" s="6" t="n">
        <v>62</v>
      </c>
      <c r="P27" s="5" t="inlineStr">
        <is>
          <t>built</t>
        </is>
      </c>
      <c r="Q27" s="5" t="inlineStr">
        <is>
          <t>VERY_SPACIOUS</t>
        </is>
      </c>
      <c r="R27" s="7" t="n">
        <v>12.74</v>
      </c>
      <c r="S27" s="5" t="inlineStr">
        <is>
          <t>EXCELLENT_VALUE</t>
        </is>
      </c>
      <c r="T27" s="5" t="inlineStr">
        <is>
          <t>Yes</t>
        </is>
      </c>
      <c r="U27" s="5" t="inlineStr">
        <is>
          <t>UNKNOWN</t>
        </is>
      </c>
      <c r="V27" s="5" t="inlineStr">
        <is>
          <t>UNKNOWN</t>
        </is>
      </c>
      <c r="W27" s="5" t="inlineStr">
        <is>
          <t>UNKNOWN</t>
        </is>
      </c>
      <c r="X27" s="5" t="inlineStr">
        <is>
          <t>Yes</t>
        </is>
      </c>
      <c r="Y27" s="5" t="inlineStr">
        <is>
          <t>Yes</t>
        </is>
      </c>
      <c r="Z27" s="5" t="inlineStr">
        <is>
          <t>Yes</t>
        </is>
      </c>
      <c r="AA27" s="5" t="inlineStr">
        <is>
          <t>UNKNOWN</t>
        </is>
      </c>
      <c r="AB27" s="5" t="inlineStr">
        <is>
          <t>UNKNOWN</t>
        </is>
      </c>
      <c r="AC27" s="5" t="inlineStr">
        <is>
          <t>HIGH · conf. high</t>
        </is>
      </c>
      <c r="AD27" s="6" t="n">
        <v>28</v>
      </c>
      <c r="AE27" s="8" t="inlineStr">
        <is>
          <t>61 m from Av. Demo Arterial (DEMO) (major road); nightclub 'Discoteca Demo (DEMO)' 190 m away; 2 bar(s) within 150 m; listing says it faces an avenue. Quietness estimate: high confidence.</t>
        </is>
      </c>
      <c r="AF27" s="6" t="n">
        <v>61</v>
      </c>
      <c r="AG27" s="6" t="n">
        <v>190</v>
      </c>
      <c r="AH27" s="6" t="n">
        <v>2</v>
      </c>
      <c r="AI27" s="8" t="inlineStr">
        <is>
          <t>bus/Metropolitano stop 129 m</t>
        </is>
      </c>
      <c r="AJ27" s="5" t="inlineStr">
        <is>
          <t>UNKNOWN</t>
        </is>
      </c>
      <c r="AK27" s="5" t="inlineStr">
        <is>
          <t>UNKNOWN</t>
        </is>
      </c>
      <c r="AL27" s="5" t="inlineStr">
        <is>
          <t>UNKNOWN</t>
        </is>
      </c>
      <c r="AM27" s="5" t="inlineStr">
        <is>
          <t>2026-09-21</t>
        </is>
      </c>
      <c r="AN27" s="5" t="inlineStr">
        <is>
          <t>LIKELY_ACTIVE</t>
        </is>
      </c>
      <c r="AO27" s="8" t="inlineStr">
        <is>
          <t>62 m² built area — very spacious for a 1-bedroom; USD 12.7/m² (excellent value vs other 1BR in sample); furnished</t>
        </is>
      </c>
      <c r="AP27" s="8" t="inlineStr">
        <is>
          <t>high estimated noise: 61 m from Av. Demo Arterial (DEMO) (major road)</t>
        </is>
      </c>
      <c r="AQ27" s="8" t="inlineStr">
        <is>
          <t>DIRECT_MAJOR_AVENUE; HIGH_NOISE_RISK; NIGHTLIFE_PROXIMITY</t>
        </is>
      </c>
      <c r="AR27" s="8" t="inlineStr">
        <is>
          <t>DEMO Inmobiliaria D</t>
        </is>
      </c>
      <c r="AS27" s="5" t="inlineStr">
        <is>
          <t>+5110001018</t>
        </is>
      </c>
      <c r="AT27" s="5" t="inlineStr">
        <is>
          <t>Urbania</t>
        </is>
      </c>
      <c r="AU27" s="6" t="n">
        <v>1</v>
      </c>
      <c r="AV27" s="5" t="inlineStr">
        <is>
          <t>G0019</t>
        </is>
      </c>
      <c r="AW27" s="5" t="inlineStr"/>
      <c r="AX27" s="10" t="inlineStr">
        <is>
          <t>View listing</t>
        </is>
      </c>
      <c r="AY27" s="5" t="inlineStr">
        <is>
          <t>—</t>
        </is>
      </c>
      <c r="AZ27" s="10" t="inlineStr">
        <is>
          <t>Open map</t>
        </is>
      </c>
      <c r="BA27" s="5" t="inlineStr">
        <is>
          <t>LISTING / EXACT</t>
        </is>
      </c>
      <c r="BB27" s="5" t="inlineStr">
        <is>
          <t>PROGRAMMATIC_PASS</t>
        </is>
      </c>
      <c r="BC27" s="5" t="inlineStr"/>
    </row>
    <row r="28">
      <c r="A28" s="6" t="n">
        <v>24</v>
      </c>
      <c r="B28" s="7" t="n">
        <v>64.3</v>
      </c>
      <c r="C28" s="8" t="inlineStr">
        <is>
          <t>1BR · 66 m² — Av. Ejemplo 204 (DEMO)</t>
        </is>
      </c>
      <c r="D28" s="5" t="inlineStr">
        <is>
          <t>PRIMARY</t>
        </is>
      </c>
      <c r="E28" s="5" t="inlineStr"/>
      <c r="F28" s="9" t="n">
        <v>679.47</v>
      </c>
      <c r="G28" s="5" t="inlineStr">
        <is>
          <t>PEN 2,300</t>
        </is>
      </c>
      <c r="H28" s="5" t="inlineStr">
        <is>
          <t>CALCULATED</t>
        </is>
      </c>
      <c r="I28" s="11" t="n">
        <v>2300</v>
      </c>
      <c r="J28" s="5" t="inlineStr">
        <is>
          <t>S/ 420 (≈ USD 124)</t>
        </is>
      </c>
      <c r="K28" s="5" t="inlineStr">
        <is>
          <t>PUBLISHED</t>
        </is>
      </c>
      <c r="L28" s="9" t="n">
        <v>803.55</v>
      </c>
      <c r="M28" s="6" t="n">
        <v>1</v>
      </c>
      <c r="N28" s="12" t="n">
        <v>1</v>
      </c>
      <c r="O28" s="6" t="n">
        <v>66</v>
      </c>
      <c r="P28" s="5" t="inlineStr">
        <is>
          <t>built</t>
        </is>
      </c>
      <c r="Q28" s="5" t="inlineStr">
        <is>
          <t>VERY_SPACIOUS</t>
        </is>
      </c>
      <c r="R28" s="7" t="n">
        <v>10.29</v>
      </c>
      <c r="S28" s="5" t="inlineStr">
        <is>
          <t>EXCELLENT_VALUE</t>
        </is>
      </c>
      <c r="T28" s="5" t="inlineStr">
        <is>
          <t>Yes</t>
        </is>
      </c>
      <c r="U28" s="5" t="inlineStr">
        <is>
          <t>No</t>
        </is>
      </c>
      <c r="V28" s="5" t="inlineStr">
        <is>
          <t>UNKNOWN</t>
        </is>
      </c>
      <c r="W28" s="5" t="inlineStr">
        <is>
          <t>UNKNOWN</t>
        </is>
      </c>
      <c r="X28" s="5" t="inlineStr">
        <is>
          <t>Yes</t>
        </is>
      </c>
      <c r="Y28" s="5" t="inlineStr">
        <is>
          <t>Yes</t>
        </is>
      </c>
      <c r="Z28" s="5" t="inlineStr">
        <is>
          <t>Yes</t>
        </is>
      </c>
      <c r="AA28" s="5" t="inlineStr">
        <is>
          <t>UNKNOWN</t>
        </is>
      </c>
      <c r="AB28" s="5" t="inlineStr">
        <is>
          <t>Yes</t>
        </is>
      </c>
      <c r="AC28" s="5" t="inlineStr">
        <is>
          <t>HIGH · conf. high</t>
        </is>
      </c>
      <c r="AD28" s="6" t="n">
        <v>24</v>
      </c>
      <c r="AE28" s="8" t="inlineStr">
        <is>
          <t>48 m from Av. Demo Arterial (DEMO) (major road); 56 m from Calle Demo Secundaria (DEMO); nightclub 'Discoteca Demo (DEMO)' 113 m away; 3 bars/pubs within 150 m; listing says interior-facing / contrafrente; acoustic / double-glazed windows mentioned. Quietness estimate: high confidence.</t>
        </is>
      </c>
      <c r="AF28" s="6" t="n">
        <v>48</v>
      </c>
      <c r="AG28" s="6" t="n">
        <v>113</v>
      </c>
      <c r="AH28" s="6" t="n">
        <v>3</v>
      </c>
      <c r="AI28" s="8" t="inlineStr">
        <is>
          <t>bus/Metropolitano stop 184 m</t>
        </is>
      </c>
      <c r="AJ28" s="5" t="inlineStr">
        <is>
          <t>12 months min.</t>
        </is>
      </c>
      <c r="AK28" s="8" t="inlineStr">
        <is>
          <t>2 months deposit; 1 in advance</t>
        </is>
      </c>
      <c r="AL28" s="5" t="inlineStr">
        <is>
          <t>UNKNOWN</t>
        </is>
      </c>
      <c r="AM28" s="5" t="inlineStr">
        <is>
          <t>2026-08-04</t>
        </is>
      </c>
      <c r="AN28" s="5" t="inlineStr">
        <is>
          <t>LIKELY_ACTIVE</t>
        </is>
      </c>
      <c r="AO28" s="8" t="inlineStr">
        <is>
          <t>66 m² built area — very spacious for a 1-bedroom; interior-facing; acoustic/double-glazed windows</t>
        </is>
      </c>
      <c r="AP28" s="8" t="inlineStr">
        <is>
          <t>high estimated noise: 48 m from Av. Demo Arterial (DEMO) (major road)</t>
        </is>
      </c>
      <c r="AQ28" s="8" t="inlineStr">
        <is>
          <t>DIRECT_MAJOR_AVENUE; HIGH_NOISE_RISK; INCOMPLETE_CONTACT; NIGHTLIFE_PROXIMITY; PRICE_CONVERTED_FROM_PEN</t>
        </is>
      </c>
      <c r="AR28" s="5" t="inlineStr">
        <is>
          <t>DEMO Agente F</t>
        </is>
      </c>
      <c r="AS28" s="5" t="inlineStr">
        <is>
          <t>UNKNOWN</t>
        </is>
      </c>
      <c r="AT28" s="5" t="inlineStr">
        <is>
          <t>Urbania</t>
        </is>
      </c>
      <c r="AU28" s="6" t="n">
        <v>1</v>
      </c>
      <c r="AV28" s="5" t="inlineStr">
        <is>
          <t>G0005</t>
        </is>
      </c>
      <c r="AW28" s="5" t="inlineStr"/>
      <c r="AX28" s="10" t="inlineStr">
        <is>
          <t>View listing</t>
        </is>
      </c>
      <c r="AY28" s="5" t="inlineStr">
        <is>
          <t>—</t>
        </is>
      </c>
      <c r="AZ28" s="10" t="inlineStr">
        <is>
          <t>Open map</t>
        </is>
      </c>
      <c r="BA28" s="5" t="inlineStr">
        <is>
          <t>LISTING / EXACT</t>
        </is>
      </c>
      <c r="BB28" s="5" t="inlineStr">
        <is>
          <t>PROGRAMMATIC_PASS</t>
        </is>
      </c>
      <c r="BC28" s="5" t="inlineStr"/>
    </row>
    <row r="29">
      <c r="A29" s="6" t="n">
        <v>25</v>
      </c>
      <c r="B29" s="7" t="n">
        <v>56.5</v>
      </c>
      <c r="C29" s="8" t="inlineStr">
        <is>
          <t>2BR · 93 m² — Calle Ejemplo 133 (DEMO)</t>
        </is>
      </c>
      <c r="D29" s="5" t="inlineStr">
        <is>
          <t>PRIMARY</t>
        </is>
      </c>
      <c r="E29" s="5" t="inlineStr"/>
      <c r="F29" s="9" t="n">
        <v>960</v>
      </c>
      <c r="G29" s="5" t="inlineStr">
        <is>
          <t>USD 960</t>
        </is>
      </c>
      <c r="H29" s="5" t="inlineStr">
        <is>
          <t>PUBLISHED</t>
        </is>
      </c>
      <c r="I29" s="11" t="n">
        <v>3249.6</v>
      </c>
      <c r="J29" s="5" t="inlineStr">
        <is>
          <t>S/ 420 (≈ USD 124)</t>
        </is>
      </c>
      <c r="K29" s="5" t="inlineStr">
        <is>
          <t>PUBLISHED</t>
        </is>
      </c>
      <c r="L29" s="9" t="n">
        <v>1084.08</v>
      </c>
      <c r="M29" s="6" t="n">
        <v>2</v>
      </c>
      <c r="N29" s="12" t="n">
        <v>2</v>
      </c>
      <c r="O29" s="6" t="n">
        <v>93</v>
      </c>
      <c r="P29" s="5" t="inlineStr">
        <is>
          <t>built</t>
        </is>
      </c>
      <c r="Q29" s="5" t="inlineStr">
        <is>
          <t>VERY_SPACIOUS</t>
        </is>
      </c>
      <c r="R29" s="7" t="n">
        <v>10.32</v>
      </c>
      <c r="S29" s="5" t="inlineStr">
        <is>
          <t>GOOD_VALUE</t>
        </is>
      </c>
      <c r="T29" s="5" t="inlineStr">
        <is>
          <t>Yes</t>
        </is>
      </c>
      <c r="U29" s="5" t="inlineStr">
        <is>
          <t>UNKNOWN</t>
        </is>
      </c>
      <c r="V29" s="5" t="inlineStr">
        <is>
          <t>UNKNOWN</t>
        </is>
      </c>
      <c r="W29" s="5" t="inlineStr">
        <is>
          <t>Yes</t>
        </is>
      </c>
      <c r="X29" s="5" t="inlineStr">
        <is>
          <t>Yes</t>
        </is>
      </c>
      <c r="Y29" s="5" t="inlineStr">
        <is>
          <t>UNKNOWN</t>
        </is>
      </c>
      <c r="Z29" s="5" t="inlineStr">
        <is>
          <t>Yes</t>
        </is>
      </c>
      <c r="AA29" s="5" t="inlineStr">
        <is>
          <t>Yes</t>
        </is>
      </c>
      <c r="AB29" s="5" t="inlineStr">
        <is>
          <t>UNKNOWN</t>
        </is>
      </c>
      <c r="AC29" s="5" t="inlineStr">
        <is>
          <t>HIGH · conf. high</t>
        </is>
      </c>
      <c r="AD29" s="6" t="n">
        <v>22</v>
      </c>
      <c r="AE29" s="8" t="inlineStr">
        <is>
          <t>95 m from Av. Demo Arterial (DEMO) (major road); fronts/adjacent to Calle Demo Secundaria (DEMO) (24 m); nightclub 'Discoteca Demo (DEMO)' 251 m away; 1 bar(s) within 150 m; street-facing unit near a major road. Quietness estimate: high confidence.</t>
        </is>
      </c>
      <c r="AF29" s="6" t="n">
        <v>95</v>
      </c>
      <c r="AG29" s="6" t="n">
        <v>251</v>
      </c>
      <c r="AH29" s="6" t="n">
        <v>1</v>
      </c>
      <c r="AI29" s="8" t="inlineStr">
        <is>
          <t>bus/Metropolitano stop 207 m</t>
        </is>
      </c>
      <c r="AJ29" s="5" t="inlineStr">
        <is>
          <t>12 months min.</t>
        </is>
      </c>
      <c r="AK29" s="5" t="inlineStr">
        <is>
          <t>2 months deposit</t>
        </is>
      </c>
      <c r="AL29" s="5" t="inlineStr">
        <is>
          <t>UNKNOWN</t>
        </is>
      </c>
      <c r="AM29" s="5" t="inlineStr">
        <is>
          <t>2026-09-17</t>
        </is>
      </c>
      <c r="AN29" s="5" t="inlineStr">
        <is>
          <t>LIKELY_ACTIVE</t>
        </is>
      </c>
      <c r="AO29" s="8" t="inlineStr">
        <is>
          <t>93 m² built area — very spacious for a 2-bedroom; USD 10.3/m² (good value vs other 2BR in sample); furnished</t>
        </is>
      </c>
      <c r="AP29" s="8" t="inlineStr">
        <is>
          <t>high estimated noise: 95 m from Av. Demo Arterial (DEMO) (major road)</t>
        </is>
      </c>
      <c r="AQ29" s="8" t="inlineStr">
        <is>
          <t>HIGH_NOISE_RISK; NIGHTLIFE_PROXIMITY; TOTAL_COST_OVER_BUDGET</t>
        </is>
      </c>
      <c r="AR29" s="8" t="inlineStr">
        <is>
          <t>DEMO Inmobiliaria D</t>
        </is>
      </c>
      <c r="AS29" s="5" t="inlineStr">
        <is>
          <t>+5110001033</t>
        </is>
      </c>
      <c r="AT29" s="5" t="inlineStr">
        <is>
          <t>Adondevivir</t>
        </is>
      </c>
      <c r="AU29" s="6" t="n">
        <v>1</v>
      </c>
      <c r="AV29" s="5" t="inlineStr">
        <is>
          <t>G0034</t>
        </is>
      </c>
      <c r="AW29" s="5" t="inlineStr"/>
      <c r="AX29" s="10" t="inlineStr">
        <is>
          <t>View listing</t>
        </is>
      </c>
      <c r="AY29" s="5" t="inlineStr">
        <is>
          <t>—</t>
        </is>
      </c>
      <c r="AZ29" s="10" t="inlineStr">
        <is>
          <t>Open map</t>
        </is>
      </c>
      <c r="BA29" s="5" t="inlineStr">
        <is>
          <t>LISTING / EXACT</t>
        </is>
      </c>
      <c r="BB29" s="5" t="inlineStr">
        <is>
          <t>PROGRAMMATIC_PASS</t>
        </is>
      </c>
      <c r="BC29" s="5" t="inlineStr"/>
    </row>
    <row r="30">
      <c r="A30" s="6" t="n">
        <v>26</v>
      </c>
      <c r="B30" s="7" t="n">
        <v>44.1</v>
      </c>
      <c r="C30" s="8" t="inlineStr">
        <is>
          <t>1BR · 50 m² — Av. Ejemplo 232 (DEMO)</t>
        </is>
      </c>
      <c r="D30" s="5" t="inlineStr">
        <is>
          <t>PRIMARY</t>
        </is>
      </c>
      <c r="E30" s="5" t="inlineStr"/>
      <c r="F30" s="9" t="n">
        <v>989.66</v>
      </c>
      <c r="G30" s="5" t="inlineStr">
        <is>
          <t>PEN 3,350</t>
        </is>
      </c>
      <c r="H30" s="5" t="inlineStr">
        <is>
          <t>CALCULATED</t>
        </is>
      </c>
      <c r="I30" s="11" t="n">
        <v>3350</v>
      </c>
      <c r="J30" s="5" t="inlineStr">
        <is>
          <t>UNKNOWN</t>
        </is>
      </c>
      <c r="K30" s="5" t="inlineStr">
        <is>
          <t>UNKNOWN</t>
        </is>
      </c>
      <c r="L30" s="5" t="inlineStr">
        <is>
          <t>UNKNOWN</t>
        </is>
      </c>
      <c r="M30" s="6" t="n">
        <v>1</v>
      </c>
      <c r="N30" s="12" t="n">
        <v>2</v>
      </c>
      <c r="O30" s="6" t="n">
        <v>50</v>
      </c>
      <c r="P30" s="5" t="inlineStr">
        <is>
          <t>built</t>
        </is>
      </c>
      <c r="Q30" s="5" t="inlineStr">
        <is>
          <t>GOOD</t>
        </is>
      </c>
      <c r="R30" s="7" t="n">
        <v>19.79</v>
      </c>
      <c r="S30" s="5" t="inlineStr">
        <is>
          <t>FAIR_VALUE</t>
        </is>
      </c>
      <c r="T30" s="5" t="inlineStr">
        <is>
          <t>UNKNOWN</t>
        </is>
      </c>
      <c r="U30" s="5" t="inlineStr">
        <is>
          <t>Yes (1)</t>
        </is>
      </c>
      <c r="V30" s="5" t="inlineStr">
        <is>
          <t>UNKNOWN</t>
        </is>
      </c>
      <c r="W30" s="5" t="inlineStr">
        <is>
          <t>UNKNOWN</t>
        </is>
      </c>
      <c r="X30" s="5" t="inlineStr">
        <is>
          <t>UNKNOWN</t>
        </is>
      </c>
      <c r="Y30" s="5" t="inlineStr">
        <is>
          <t>UNKNOWN</t>
        </is>
      </c>
      <c r="Z30" s="5" t="inlineStr">
        <is>
          <t>Yes</t>
        </is>
      </c>
      <c r="AA30" s="5" t="inlineStr">
        <is>
          <t>UNKNOWN</t>
        </is>
      </c>
      <c r="AB30" s="5" t="inlineStr">
        <is>
          <t>UNKNOWN</t>
        </is>
      </c>
      <c r="AC30" s="5" t="inlineStr">
        <is>
          <t>HIGH · conf. high</t>
        </is>
      </c>
      <c r="AD30" s="6" t="n">
        <v>0</v>
      </c>
      <c r="AE30" s="8" t="inlineStr">
        <is>
          <t>7 m from Av. Demo Arterial (DEMO) (major road); nightclub 'Discoteca Demo (DEMO)' 141 m away; 5 bars/pubs within 150 m; listing says it faces an avenue. Quietness estimate: high confidence.</t>
        </is>
      </c>
      <c r="AF30" s="6" t="n">
        <v>7</v>
      </c>
      <c r="AG30" s="6" t="n">
        <v>141</v>
      </c>
      <c r="AH30" s="6" t="n">
        <v>5</v>
      </c>
      <c r="AI30" s="8" t="inlineStr">
        <is>
          <t>bus/Metropolitano stop 45 m</t>
        </is>
      </c>
      <c r="AJ30" s="5" t="inlineStr">
        <is>
          <t>UNKNOWN</t>
        </is>
      </c>
      <c r="AK30" s="5" t="inlineStr">
        <is>
          <t>UNKNOWN</t>
        </is>
      </c>
      <c r="AL30" s="5" t="inlineStr">
        <is>
          <t>UNKNOWN</t>
        </is>
      </c>
      <c r="AM30" s="5" t="inlineStr">
        <is>
          <t>2026-08-08</t>
        </is>
      </c>
      <c r="AN30" s="5" t="inlineStr">
        <is>
          <t>LIKELY_ACTIVE</t>
        </is>
      </c>
      <c r="AO30" s="8" t="inlineStr">
        <is>
          <t>50 m² built area — good for a 1-bedroom; building security/controlled access</t>
        </is>
      </c>
      <c r="AP30" s="8" t="inlineStr">
        <is>
          <t>high estimated noise: 7 m from Av. Demo Arterial (DEMO) (major road)</t>
        </is>
      </c>
      <c r="AQ30" s="8" t="inlineStr">
        <is>
          <t>DIRECT_MAJOR_AVENUE; HIGH_NOISE_RISK; INCOMPLETE_CONTACT; NIGHTLIFE_PROXIMITY; PRICE_CONVERTED_FROM_PEN; UNKNOWN_MAINTENANCE</t>
        </is>
      </c>
      <c r="AR30" s="5" t="inlineStr">
        <is>
          <t>DEMO Agente F</t>
        </is>
      </c>
      <c r="AS30" s="5" t="inlineStr">
        <is>
          <t>UNKNOWN</t>
        </is>
      </c>
      <c r="AT30" s="5" t="inlineStr">
        <is>
          <t>Urbania</t>
        </is>
      </c>
      <c r="AU30" s="6" t="n">
        <v>1</v>
      </c>
      <c r="AV30" s="5" t="inlineStr">
        <is>
          <t>G0033</t>
        </is>
      </c>
      <c r="AW30" s="5" t="inlineStr"/>
      <c r="AX30" s="10" t="inlineStr">
        <is>
          <t>View listing</t>
        </is>
      </c>
      <c r="AY30" s="5" t="inlineStr">
        <is>
          <t>—</t>
        </is>
      </c>
      <c r="AZ30" s="10" t="inlineStr">
        <is>
          <t>Open map</t>
        </is>
      </c>
      <c r="BA30" s="5" t="inlineStr">
        <is>
          <t>LISTING / EXACT</t>
        </is>
      </c>
      <c r="BB30" s="5" t="inlineStr">
        <is>
          <t>PROGRAMMATIC_PASS</t>
        </is>
      </c>
      <c r="BC30" s="5" t="inlineStr"/>
    </row>
  </sheetData>
  <autoFilter ref="A4:BC30"/>
  <conditionalFormatting sqref="A5:BC30">
    <cfRule type="cellIs" priority="1" operator="equal" dxfId="0">
      <formula>"UNKNOWN"</formula>
    </cfRule>
    <cfRule type="expression" priority="8" dxfId="2">
      <formula>MOD(ROW(),2)=0</formula>
    </cfRule>
  </conditionalFormatting>
  <conditionalFormatting sqref="AC5:AC30">
    <cfRule type="expression" priority="2" dxfId="3" stopIfTrue="1">
      <formula>LEFT(AC5,3)="LOW"</formula>
    </cfRule>
    <cfRule type="expression" priority="3" dxfId="4" stopIfTrue="1">
      <formula>LEFT(AC5,6)="MEDIUM"</formula>
    </cfRule>
    <cfRule type="expression" priority="4" dxfId="5" stopIfTrue="1">
      <formula>LEFT(AC5,4)="HIGH"</formula>
    </cfRule>
  </conditionalFormatting>
  <conditionalFormatting sqref="L5:L30">
    <cfRule type="cellIs" priority="5" operator="greaterThan" dxfId="6" stopIfTrue="1">
      <formula>1000</formula>
    </cfRule>
  </conditionalFormatting>
  <conditionalFormatting sqref="F5:F30">
    <cfRule type="cellIs" priority="6" operator="greaterThan" dxfId="6" stopIfTrue="1">
      <formula>1000</formula>
    </cfRule>
  </conditionalFormatting>
  <conditionalFormatting sqref="B5:B30">
    <cfRule type="cellIs" priority="7" operator="greaterThanOrEqual" dxfId="7">
      <formula>75</formula>
    </cfRule>
  </conditionalFormatting>
  <hyperlinks>
    <hyperlink xmlns:r="http://schemas.openxmlformats.org/officeDocument/2006/relationships" ref="AX5" r:id="rId1"/>
    <hyperlink xmlns:r="http://schemas.openxmlformats.org/officeDocument/2006/relationships" ref="AZ5" r:id="rId2"/>
    <hyperlink xmlns:r="http://schemas.openxmlformats.org/officeDocument/2006/relationships" ref="AX6" r:id="rId3"/>
    <hyperlink xmlns:r="http://schemas.openxmlformats.org/officeDocument/2006/relationships" ref="AZ6" r:id="rId4"/>
    <hyperlink xmlns:r="http://schemas.openxmlformats.org/officeDocument/2006/relationships" ref="AX7" r:id="rId5"/>
    <hyperlink xmlns:r="http://schemas.openxmlformats.org/officeDocument/2006/relationships" ref="AZ7" r:id="rId6"/>
    <hyperlink xmlns:r="http://schemas.openxmlformats.org/officeDocument/2006/relationships" ref="AX8" r:id="rId7"/>
    <hyperlink xmlns:r="http://schemas.openxmlformats.org/officeDocument/2006/relationships" ref="AZ8" r:id="rId8"/>
    <hyperlink xmlns:r="http://schemas.openxmlformats.org/officeDocument/2006/relationships" ref="AX9" r:id="rId9"/>
    <hyperlink xmlns:r="http://schemas.openxmlformats.org/officeDocument/2006/relationships" ref="AZ9" r:id="rId10"/>
    <hyperlink xmlns:r="http://schemas.openxmlformats.org/officeDocument/2006/relationships" ref="AX10" r:id="rId11"/>
    <hyperlink xmlns:r="http://schemas.openxmlformats.org/officeDocument/2006/relationships" ref="AZ10" r:id="rId12"/>
    <hyperlink xmlns:r="http://schemas.openxmlformats.org/officeDocument/2006/relationships" ref="AX11" r:id="rId13"/>
    <hyperlink xmlns:r="http://schemas.openxmlformats.org/officeDocument/2006/relationships" ref="AZ11" r:id="rId14"/>
    <hyperlink xmlns:r="http://schemas.openxmlformats.org/officeDocument/2006/relationships" ref="AX12" r:id="rId15"/>
    <hyperlink xmlns:r="http://schemas.openxmlformats.org/officeDocument/2006/relationships" ref="AZ12" r:id="rId16"/>
    <hyperlink xmlns:r="http://schemas.openxmlformats.org/officeDocument/2006/relationships" ref="AX13" r:id="rId17"/>
    <hyperlink xmlns:r="http://schemas.openxmlformats.org/officeDocument/2006/relationships" ref="AZ13" r:id="rId18"/>
    <hyperlink xmlns:r="http://schemas.openxmlformats.org/officeDocument/2006/relationships" ref="AX14" r:id="rId19"/>
    <hyperlink xmlns:r="http://schemas.openxmlformats.org/officeDocument/2006/relationships" ref="AZ14" r:id="rId20"/>
    <hyperlink xmlns:r="http://schemas.openxmlformats.org/officeDocument/2006/relationships" ref="AX15" r:id="rId21"/>
    <hyperlink xmlns:r="http://schemas.openxmlformats.org/officeDocument/2006/relationships" ref="AZ15" r:id="rId22"/>
    <hyperlink xmlns:r="http://schemas.openxmlformats.org/officeDocument/2006/relationships" ref="AX16" r:id="rId23"/>
    <hyperlink xmlns:r="http://schemas.openxmlformats.org/officeDocument/2006/relationships" ref="AZ16" r:id="rId24"/>
    <hyperlink xmlns:r="http://schemas.openxmlformats.org/officeDocument/2006/relationships" ref="AX17" r:id="rId25"/>
    <hyperlink xmlns:r="http://schemas.openxmlformats.org/officeDocument/2006/relationships" ref="AZ17" r:id="rId26"/>
    <hyperlink xmlns:r="http://schemas.openxmlformats.org/officeDocument/2006/relationships" ref="AX18" r:id="rId27"/>
    <hyperlink xmlns:r="http://schemas.openxmlformats.org/officeDocument/2006/relationships" ref="AZ18" r:id="rId28"/>
    <hyperlink xmlns:r="http://schemas.openxmlformats.org/officeDocument/2006/relationships" ref="AX19" r:id="rId29"/>
    <hyperlink xmlns:r="http://schemas.openxmlformats.org/officeDocument/2006/relationships" ref="AZ19" r:id="rId30"/>
    <hyperlink xmlns:r="http://schemas.openxmlformats.org/officeDocument/2006/relationships" ref="AX20" r:id="rId31"/>
    <hyperlink xmlns:r="http://schemas.openxmlformats.org/officeDocument/2006/relationships" ref="AZ20" r:id="rId32"/>
    <hyperlink xmlns:r="http://schemas.openxmlformats.org/officeDocument/2006/relationships" ref="AX21" r:id="rId33"/>
    <hyperlink xmlns:r="http://schemas.openxmlformats.org/officeDocument/2006/relationships" ref="AZ21" r:id="rId34"/>
    <hyperlink xmlns:r="http://schemas.openxmlformats.org/officeDocument/2006/relationships" ref="AX22" r:id="rId35"/>
    <hyperlink xmlns:r="http://schemas.openxmlformats.org/officeDocument/2006/relationships" ref="AZ22" r:id="rId36"/>
    <hyperlink xmlns:r="http://schemas.openxmlformats.org/officeDocument/2006/relationships" ref="AX23" r:id="rId37"/>
    <hyperlink xmlns:r="http://schemas.openxmlformats.org/officeDocument/2006/relationships" ref="AZ23" r:id="rId38"/>
    <hyperlink xmlns:r="http://schemas.openxmlformats.org/officeDocument/2006/relationships" ref="AX24" r:id="rId39"/>
    <hyperlink xmlns:r="http://schemas.openxmlformats.org/officeDocument/2006/relationships" ref="AZ24" r:id="rId40"/>
    <hyperlink xmlns:r="http://schemas.openxmlformats.org/officeDocument/2006/relationships" ref="AX25" r:id="rId41"/>
    <hyperlink xmlns:r="http://schemas.openxmlformats.org/officeDocument/2006/relationships" ref="AZ25" r:id="rId42"/>
    <hyperlink xmlns:r="http://schemas.openxmlformats.org/officeDocument/2006/relationships" ref="AX26" r:id="rId43"/>
    <hyperlink xmlns:r="http://schemas.openxmlformats.org/officeDocument/2006/relationships" ref="AZ26" r:id="rId44"/>
    <hyperlink xmlns:r="http://schemas.openxmlformats.org/officeDocument/2006/relationships" ref="AX27" r:id="rId45"/>
    <hyperlink xmlns:r="http://schemas.openxmlformats.org/officeDocument/2006/relationships" ref="AZ27" r:id="rId46"/>
    <hyperlink xmlns:r="http://schemas.openxmlformats.org/officeDocument/2006/relationships" ref="AX28" r:id="rId47"/>
    <hyperlink xmlns:r="http://schemas.openxmlformats.org/officeDocument/2006/relationships" ref="AZ28" r:id="rId48"/>
    <hyperlink xmlns:r="http://schemas.openxmlformats.org/officeDocument/2006/relationships" ref="AX29" r:id="rId49"/>
    <hyperlink xmlns:r="http://schemas.openxmlformats.org/officeDocument/2006/relationships" ref="AZ29" r:id="rId50"/>
    <hyperlink xmlns:r="http://schemas.openxmlformats.org/officeDocument/2006/relationships" ref="AX30" r:id="rId51"/>
    <hyperlink xmlns:r="http://schemas.openxmlformats.org/officeDocument/2006/relationships" ref="AZ30" r:id="rId5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C13"/>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8" customWidth="1" min="13" max="13"/>
    <col width="8" customWidth="1" min="14" max="14"/>
    <col width="8" customWidth="1" min="15" max="15"/>
    <col width="8" customWidth="1" min="16" max="16"/>
    <col width="12" customWidth="1" min="17" max="17"/>
    <col width="8" customWidth="1" min="18" max="18"/>
    <col width="18" customWidth="1" min="19" max="19"/>
    <col width="10" customWidth="1" min="20" max="20"/>
    <col width="9" customWidth="1" min="21" max="21"/>
    <col width="7" customWidth="1" min="22" max="22"/>
    <col width="9" customWidth="1" min="23" max="23"/>
    <col width="8" customWidth="1" min="24" max="24"/>
    <col width="8" customWidth="1" min="25" max="25"/>
    <col width="8" customWidth="1" min="26" max="26"/>
    <col width="7" customWidth="1" min="27" max="27"/>
    <col width="8" customWidth="1" min="28" max="28"/>
    <col width="14" customWidth="1" min="29" max="29"/>
    <col width="9" customWidth="1" min="30" max="30"/>
    <col width="50" customWidth="1" min="31" max="31"/>
    <col width="10" customWidth="1" min="32" max="32"/>
    <col width="10" customWidth="1" min="33" max="33"/>
    <col width="8" customWidth="1" min="34" max="34"/>
    <col width="30" customWidth="1" min="35" max="35"/>
    <col width="12" customWidth="1" min="36" max="36"/>
    <col width="14" customWidth="1" min="37" max="37"/>
    <col width="14" customWidth="1" min="38" max="38"/>
    <col width="11" customWidth="1" min="39" max="39"/>
    <col width="14" customWidth="1" min="40" max="40"/>
    <col width="40" customWidth="1" min="41" max="41"/>
    <col width="36" customWidth="1" min="42" max="42"/>
    <col width="40" customWidth="1" min="43" max="43"/>
    <col width="20" customWidth="1" min="44" max="44"/>
    <col width="14" customWidth="1" min="45" max="45"/>
    <col width="14" customWidth="1" min="46" max="46"/>
    <col width="7" customWidth="1" min="47" max="47"/>
    <col width="9" customWidth="1" min="48" max="48"/>
    <col width="24" customWidth="1" min="49" max="49"/>
    <col width="12" customWidth="1" min="50" max="50"/>
    <col width="14" customWidth="1" min="51" max="51"/>
    <col width="10" customWidth="1" min="52" max="52"/>
    <col width="16" customWidth="1" min="53" max="53"/>
    <col width="18" customWidth="1" min="54" max="54"/>
    <col width="30" customWidth="1" min="55" max="55"/>
  </cols>
  <sheetData>
    <row r="1">
      <c r="A1" s="1" t="inlineStr">
        <is>
          <t>Stretch / negotiable (rent USD 1,001–1,100) — kept separate</t>
        </is>
      </c>
    </row>
    <row r="2">
      <c r="A2" s="2" t="inlineStr">
        <is>
          <t>Generated 2026-09-24T17:45:37-05:00 · FX 1 USD = S/ 3.385 (fallback)</t>
        </is>
      </c>
    </row>
    <row r="3">
      <c r="A3" s="3" t="inlineStr">
        <is>
          <t>SYNTHETIC DEMO DATA — FORMAT PREVIEW ONLY — THESE ARE NOT REAL LISTINGS</t>
        </is>
      </c>
    </row>
    <row r="4" ht="30" customHeight="1">
      <c r="A4" s="4" t="inlineStr">
        <is>
          <t>Rank</t>
        </is>
      </c>
      <c r="B4" s="4" t="inlineStr">
        <is>
          <t>Fit Score</t>
        </is>
      </c>
      <c r="C4" s="4" t="inlineStr">
        <is>
          <t>Property</t>
        </is>
      </c>
      <c r="D4" s="4" t="inlineStr">
        <is>
          <t>Category</t>
        </is>
      </c>
      <c r="E4" s="4" t="inlineStr">
        <is>
          <t>Why in this sheet</t>
        </is>
      </c>
      <c r="F4" s="4" t="inlineStr">
        <is>
          <t>Monthly Rent USD</t>
        </is>
      </c>
      <c r="G4" s="4" t="inlineStr">
        <is>
          <t>Rent as published</t>
        </is>
      </c>
      <c r="H4" s="4" t="inlineStr">
        <is>
          <t>Rent USD basis</t>
        </is>
      </c>
      <c r="I4" s="4" t="inlineStr">
        <is>
          <t>Rent PEN</t>
        </is>
      </c>
      <c r="J4" s="4" t="inlineStr">
        <is>
          <t>Maintenance</t>
        </is>
      </c>
      <c r="K4" s="4" t="inlineStr">
        <is>
          <t>Maintenance basis</t>
        </is>
      </c>
      <c r="L4" s="4" t="inlineStr">
        <is>
          <t>Estimated Total USD</t>
        </is>
      </c>
      <c r="M4" s="4" t="inlineStr">
        <is>
          <t>Bedrooms</t>
        </is>
      </c>
      <c r="N4" s="4" t="inlineStr">
        <is>
          <t>Bathrooms</t>
        </is>
      </c>
      <c r="O4" s="4" t="inlineStr">
        <is>
          <t>Area m²</t>
        </is>
      </c>
      <c r="P4" s="4" t="inlineStr">
        <is>
          <t>Area basis</t>
        </is>
      </c>
      <c r="Q4" s="4" t="inlineStr">
        <is>
          <t>Space band</t>
        </is>
      </c>
      <c r="R4" s="4" t="inlineStr">
        <is>
          <t>USD/m²</t>
        </is>
      </c>
      <c r="S4" s="4" t="inlineStr">
        <is>
          <t>Value band</t>
        </is>
      </c>
      <c r="T4" s="4" t="inlineStr">
        <is>
          <t>Furnished</t>
        </is>
      </c>
      <c r="U4" s="4" t="inlineStr">
        <is>
          <t>Parking</t>
        </is>
      </c>
      <c r="V4" s="4" t="inlineStr">
        <is>
          <t>Floor</t>
        </is>
      </c>
      <c r="W4" s="4" t="inlineStr">
        <is>
          <t>Balcony/Terrace</t>
        </is>
      </c>
      <c r="X4" s="4" t="inlineStr">
        <is>
          <t>Laundry</t>
        </is>
      </c>
      <c r="Y4" s="4" t="inlineStr">
        <is>
          <t>Elevator</t>
        </is>
      </c>
      <c r="Z4" s="4" t="inlineStr">
        <is>
          <t>Security</t>
        </is>
      </c>
      <c r="AA4" s="4" t="inlineStr">
        <is>
          <t>Pets</t>
        </is>
      </c>
      <c r="AB4" s="4" t="inlineStr">
        <is>
          <t>Interior view</t>
        </is>
      </c>
      <c r="AC4" s="4" t="inlineStr">
        <is>
          <t>Noise Risk</t>
        </is>
      </c>
      <c r="AD4" s="4" t="inlineStr">
        <is>
          <t>Quietness Score</t>
        </is>
      </c>
      <c r="AE4" s="4" t="inlineStr">
        <is>
          <t>Quietness evidence</t>
        </is>
      </c>
      <c r="AF4" s="4" t="inlineStr">
        <is>
          <t>Nearest major road (m)</t>
        </is>
      </c>
      <c r="AG4" s="4" t="inlineStr">
        <is>
          <t>Nearest nightclub (m)</t>
        </is>
      </c>
      <c r="AH4" s="4" t="inlineStr">
        <is>
          <t>Bars ≤150 m</t>
        </is>
      </c>
      <c r="AI4" s="4" t="inlineStr">
        <is>
          <t>Daily needs nearby</t>
        </is>
      </c>
      <c r="AJ4" s="4" t="inlineStr">
        <is>
          <t>Contract</t>
        </is>
      </c>
      <c r="AK4" s="4" t="inlineStr">
        <is>
          <t>Deposit</t>
        </is>
      </c>
      <c r="AL4" s="4" t="inlineStr">
        <is>
          <t>Utilities included</t>
        </is>
      </c>
      <c r="AM4" s="4" t="inlineStr">
        <is>
          <t>Published</t>
        </is>
      </c>
      <c r="AN4" s="4" t="inlineStr">
        <is>
          <t>Active status</t>
        </is>
      </c>
      <c r="AO4" s="4" t="inlineStr">
        <is>
          <t>Main Advantage</t>
        </is>
      </c>
      <c r="AP4" s="4" t="inlineStr">
        <is>
          <t>Main Drawback</t>
        </is>
      </c>
      <c r="AQ4" s="4" t="inlineStr">
        <is>
          <t>Red flags</t>
        </is>
      </c>
      <c r="AR4" s="4" t="inlineStr">
        <is>
          <t>Agency / agent</t>
        </is>
      </c>
      <c r="AS4" s="4" t="inlineStr">
        <is>
          <t>Phone</t>
        </is>
      </c>
      <c r="AT4" s="4" t="inlineStr">
        <is>
          <t>Source</t>
        </is>
      </c>
      <c r="AU4" s="4" t="inlineStr">
        <is>
          <t># Sources</t>
        </is>
      </c>
      <c r="AV4" s="4" t="inlineStr">
        <is>
          <t>Duplicate group</t>
        </is>
      </c>
      <c r="AW4" s="4" t="inlineStr">
        <is>
          <t>Duplicate conflicts</t>
        </is>
      </c>
      <c r="AX4" s="4" t="inlineStr">
        <is>
          <t>View Listing</t>
        </is>
      </c>
      <c r="AY4" s="4" t="inlineStr">
        <is>
          <t>WhatsApp</t>
        </is>
      </c>
      <c r="AZ4" s="4" t="inlineStr">
        <is>
          <t>Map</t>
        </is>
      </c>
      <c r="BA4" s="4" t="inlineStr">
        <is>
          <t>Location source</t>
        </is>
      </c>
      <c r="BB4" s="4" t="inlineStr">
        <is>
          <t>QA Status</t>
        </is>
      </c>
      <c r="BC4" s="4" t="inlineStr">
        <is>
          <t>QA notes</t>
        </is>
      </c>
    </row>
    <row r="5">
      <c r="A5" s="6" t="n">
        <v>1</v>
      </c>
      <c r="B5" s="7" t="n">
        <v>65.8</v>
      </c>
      <c r="C5" s="8" t="inlineStr">
        <is>
          <t>2BR · 70 m² — Av. Ejemplo 225 (DEMO)</t>
        </is>
      </c>
      <c r="D5" s="5" t="inlineStr">
        <is>
          <t>STRETCH</t>
        </is>
      </c>
      <c r="E5" s="8" t="inlineStr">
        <is>
          <t>Rent USD 1,064: above the USD 1,000 target; only worth it if negotiable</t>
        </is>
      </c>
      <c r="F5" s="9" t="n">
        <v>1063.52</v>
      </c>
      <c r="G5" s="5" t="inlineStr">
        <is>
          <t>PEN 3,600</t>
        </is>
      </c>
      <c r="H5" s="5" t="inlineStr">
        <is>
          <t>CALCULATED</t>
        </is>
      </c>
      <c r="I5" s="11" t="n">
        <v>3600</v>
      </c>
      <c r="J5" s="5" t="inlineStr">
        <is>
          <t>S/ 500 (≈ USD 148)</t>
        </is>
      </c>
      <c r="K5" s="5" t="inlineStr">
        <is>
          <t>PUBLISHED</t>
        </is>
      </c>
      <c r="L5" s="9" t="n">
        <v>1211.23</v>
      </c>
      <c r="M5" s="6" t="n">
        <v>2</v>
      </c>
      <c r="N5" s="12" t="n">
        <v>2</v>
      </c>
      <c r="O5" s="6" t="n">
        <v>70</v>
      </c>
      <c r="P5" s="5" t="inlineStr">
        <is>
          <t>built</t>
        </is>
      </c>
      <c r="Q5" s="5" t="inlineStr">
        <is>
          <t>GOOD</t>
        </is>
      </c>
      <c r="R5" s="7" t="n">
        <v>15.19</v>
      </c>
      <c r="S5" s="8" t="inlineStr">
        <is>
          <t>EXPENSIVE_RELATIVE_TO_SAMPLE</t>
        </is>
      </c>
      <c r="T5" s="5" t="inlineStr">
        <is>
          <t>No</t>
        </is>
      </c>
      <c r="U5" s="5" t="inlineStr">
        <is>
          <t>No</t>
        </is>
      </c>
      <c r="V5" s="5" t="inlineStr">
        <is>
          <t>UNKNOWN</t>
        </is>
      </c>
      <c r="W5" s="5" t="inlineStr">
        <is>
          <t>UNKNOWN</t>
        </is>
      </c>
      <c r="X5" s="5" t="inlineStr">
        <is>
          <t>Yes</t>
        </is>
      </c>
      <c r="Y5" s="5" t="inlineStr">
        <is>
          <t>Yes</t>
        </is>
      </c>
      <c r="Z5" s="5" t="inlineStr">
        <is>
          <t>Yes</t>
        </is>
      </c>
      <c r="AA5" s="5" t="inlineStr">
        <is>
          <t>UNKNOWN</t>
        </is>
      </c>
      <c r="AB5" s="5" t="inlineStr">
        <is>
          <t>Yes</t>
        </is>
      </c>
      <c r="AC5" s="5" t="inlineStr">
        <is>
          <t>LOW · conf. high</t>
        </is>
      </c>
      <c r="AD5" s="6" t="n">
        <v>97</v>
      </c>
      <c r="AE5" s="8" t="inlineStr">
        <is>
          <t>Nearest major road (Av. Demo Arterial (DEMO)) 1255 m away; no nightclub mapped within 500 m; listing says interior-facing / contrafrente; acoustic / double-glazed windows mentioned; seller describes the street as quiet (unverified claim). Quietness estimate: high confidence.</t>
        </is>
      </c>
      <c r="AF5" s="6" t="n">
        <v>1255</v>
      </c>
      <c r="AG5" s="6" t="n">
        <v>1135</v>
      </c>
      <c r="AH5" s="6" t="n">
        <v>0</v>
      </c>
      <c r="AI5" s="5" t="inlineStr">
        <is>
          <t>supermarket 462 m</t>
        </is>
      </c>
      <c r="AJ5" s="5" t="inlineStr">
        <is>
          <t>12 months min.</t>
        </is>
      </c>
      <c r="AK5" s="8" t="inlineStr">
        <is>
          <t>2 months deposit; 1 in advance</t>
        </is>
      </c>
      <c r="AL5" s="5" t="inlineStr">
        <is>
          <t>UNKNOWN</t>
        </is>
      </c>
      <c r="AM5" s="5" t="inlineStr">
        <is>
          <t>2026-09-07</t>
        </is>
      </c>
      <c r="AN5" s="5" t="inlineStr">
        <is>
          <t>LIKELY_ACTIVE</t>
        </is>
      </c>
      <c r="AO5" s="8" t="inlineStr">
        <is>
          <t>70 m² built area — good for a 2-bedroom; low estimated noise (97/100); interior-facing</t>
        </is>
      </c>
      <c r="AP5" s="8" t="inlineStr">
        <is>
          <t>rent + maintenance ≈ USD 1,211 (USD 1,064 rent + S/ 500 maintenance) exceeds USD 1,000</t>
        </is>
      </c>
      <c r="AQ5" s="8" t="inlineStr">
        <is>
          <t>INCOMPLETE_CONTACT; NO_FURNITURE; PRICE_CONVERTED_FROM_PEN; PRICE_OVER_BUDGET; TOTAL_COST_OVER_BUDGET</t>
        </is>
      </c>
      <c r="AR5" s="5" t="inlineStr">
        <is>
          <t>DEMO Agente G</t>
        </is>
      </c>
      <c r="AS5" s="5" t="inlineStr">
        <is>
          <t>UNKNOWN</t>
        </is>
      </c>
      <c r="AT5" s="5" t="inlineStr">
        <is>
          <t>Adondevivir</t>
        </is>
      </c>
      <c r="AU5" s="6" t="n">
        <v>1</v>
      </c>
      <c r="AV5" s="5" t="inlineStr">
        <is>
          <t>G0026</t>
        </is>
      </c>
      <c r="AW5" s="5" t="inlineStr"/>
      <c r="AX5" s="10" t="inlineStr">
        <is>
          <t>View listing</t>
        </is>
      </c>
      <c r="AY5" s="5" t="inlineStr">
        <is>
          <t>—</t>
        </is>
      </c>
      <c r="AZ5" s="10" t="inlineStr">
        <is>
          <t>Open map</t>
        </is>
      </c>
      <c r="BA5" s="5" t="inlineStr">
        <is>
          <t>LISTING / EXACT</t>
        </is>
      </c>
      <c r="BB5" s="5" t="inlineStr">
        <is>
          <t>PROGRAMMATIC_PASS</t>
        </is>
      </c>
      <c r="BC5" s="5" t="inlineStr"/>
    </row>
    <row r="6">
      <c r="A6" s="6" t="n">
        <v>2</v>
      </c>
      <c r="B6" s="7" t="n">
        <v>64.90000000000001</v>
      </c>
      <c r="C6" s="8" t="inlineStr">
        <is>
          <t>2BR · 96 m² — Calle Amplia 904 (DEMO)</t>
        </is>
      </c>
      <c r="D6" s="5" t="inlineStr">
        <is>
          <t>STRETCH</t>
        </is>
      </c>
      <c r="E6" s="8" t="inlineStr">
        <is>
          <t>Rent USD 1,060: above the USD 1,000 target; only worth it if negotiable</t>
        </is>
      </c>
      <c r="F6" s="9" t="n">
        <v>1060</v>
      </c>
      <c r="G6" s="5" t="inlineStr">
        <is>
          <t>USD 1,060</t>
        </is>
      </c>
      <c r="H6" s="5" t="inlineStr">
        <is>
          <t>PUBLISHED</t>
        </is>
      </c>
      <c r="I6" s="11" t="n">
        <v>3588.1</v>
      </c>
      <c r="J6" s="5" t="inlineStr">
        <is>
          <t>S/ 250 (≈ USD 74)</t>
        </is>
      </c>
      <c r="K6" s="5" t="inlineStr">
        <is>
          <t>PUBLISHED</t>
        </is>
      </c>
      <c r="L6" s="9" t="n">
        <v>1133.86</v>
      </c>
      <c r="M6" s="6" t="n">
        <v>2</v>
      </c>
      <c r="N6" s="12" t="n">
        <v>1.5</v>
      </c>
      <c r="O6" s="6" t="n">
        <v>96</v>
      </c>
      <c r="P6" s="5" t="inlineStr">
        <is>
          <t>built</t>
        </is>
      </c>
      <c r="Q6" s="5" t="inlineStr">
        <is>
          <t>VERY_SPACIOUS</t>
        </is>
      </c>
      <c r="R6" s="7" t="n">
        <v>11.04</v>
      </c>
      <c r="S6" s="5" t="inlineStr">
        <is>
          <t>GOOD_VALUE</t>
        </is>
      </c>
      <c r="T6" s="5" t="inlineStr">
        <is>
          <t>Yes</t>
        </is>
      </c>
      <c r="U6" s="5" t="inlineStr">
        <is>
          <t>UNKNOWN</t>
        </is>
      </c>
      <c r="V6" s="5" t="inlineStr">
        <is>
          <t>UNKNOWN</t>
        </is>
      </c>
      <c r="W6" s="5" t="inlineStr">
        <is>
          <t>UNKNOWN</t>
        </is>
      </c>
      <c r="X6" s="5" t="inlineStr">
        <is>
          <t>Yes</t>
        </is>
      </c>
      <c r="Y6" s="5" t="inlineStr">
        <is>
          <t>Yes</t>
        </is>
      </c>
      <c r="Z6" s="5" t="inlineStr">
        <is>
          <t>Yes</t>
        </is>
      </c>
      <c r="AA6" s="5" t="inlineStr">
        <is>
          <t>UNKNOWN</t>
        </is>
      </c>
      <c r="AB6" s="5" t="inlineStr">
        <is>
          <t>Yes</t>
        </is>
      </c>
      <c r="AC6" s="5" t="inlineStr">
        <is>
          <t>LOW · conf. high</t>
        </is>
      </c>
      <c r="AD6" s="6" t="n">
        <v>82</v>
      </c>
      <c r="AE6" s="8" t="inlineStr">
        <is>
          <t>Nearest major road (Av. Demo Arterial (DEMO)) 1088 m away; no nightclub mapped within 500 m; listing says interior-facing / contrafrente. Quietness estimate: high confidence.</t>
        </is>
      </c>
      <c r="AF6" s="6" t="n">
        <v>1088</v>
      </c>
      <c r="AG6" s="6" t="n">
        <v>1446</v>
      </c>
      <c r="AH6" s="6" t="n">
        <v>0</v>
      </c>
      <c r="AI6" s="5" t="inlineStr">
        <is>
          <t>UNKNOWN</t>
        </is>
      </c>
      <c r="AJ6" s="5" t="inlineStr">
        <is>
          <t>UNKNOWN</t>
        </is>
      </c>
      <c r="AK6" s="5" t="inlineStr">
        <is>
          <t>UNKNOWN</t>
        </is>
      </c>
      <c r="AL6" s="5" t="inlineStr">
        <is>
          <t>UNKNOWN</t>
        </is>
      </c>
      <c r="AM6" s="5" t="inlineStr">
        <is>
          <t>2026-09-08</t>
        </is>
      </c>
      <c r="AN6" s="5" t="inlineStr">
        <is>
          <t>LIKELY_ACTIVE</t>
        </is>
      </c>
      <c r="AO6" s="8" t="inlineStr">
        <is>
          <t>96 m² built area — very spacious for a 2-bedroom; low estimated noise (82/100); interior-facing</t>
        </is>
      </c>
      <c r="AP6" s="8" t="inlineStr">
        <is>
          <t>rent + maintenance ≈ USD 1,134 (USD 1,060 rent + S/ 250 maintenance) exceeds USD 1,000</t>
        </is>
      </c>
      <c r="AQ6" s="8" t="inlineStr">
        <is>
          <t>PRICE_OVER_BUDGET; TOTAL_COST_OVER_BUDGET</t>
        </is>
      </c>
      <c r="AR6" s="8" t="inlineStr">
        <is>
          <t>DEMO Inmobiliaria E</t>
        </is>
      </c>
      <c r="AS6" s="5" t="inlineStr">
        <is>
          <t>+5110009004</t>
        </is>
      </c>
      <c r="AT6" s="5" t="inlineStr">
        <is>
          <t>Adondevivir</t>
        </is>
      </c>
      <c r="AU6" s="6" t="n">
        <v>1</v>
      </c>
      <c r="AV6" s="5" t="inlineStr">
        <is>
          <t>G0038</t>
        </is>
      </c>
      <c r="AW6" s="5" t="inlineStr"/>
      <c r="AX6" s="10" t="inlineStr">
        <is>
          <t>View listing</t>
        </is>
      </c>
      <c r="AY6" s="5" t="inlineStr">
        <is>
          <t>—</t>
        </is>
      </c>
      <c r="AZ6" s="10" t="inlineStr">
        <is>
          <t>Open map</t>
        </is>
      </c>
      <c r="BA6" s="5" t="inlineStr">
        <is>
          <t>LISTING / EXACT</t>
        </is>
      </c>
      <c r="BB6" s="5" t="inlineStr">
        <is>
          <t>PROGRAMMATIC_PASS</t>
        </is>
      </c>
      <c r="BC6" s="5" t="inlineStr"/>
    </row>
    <row r="7">
      <c r="A7" s="6" t="n">
        <v>3</v>
      </c>
      <c r="B7" s="7" t="n">
        <v>64</v>
      </c>
      <c r="C7" s="8" t="inlineStr">
        <is>
          <t>2BR · 72 m² — Av. Ejemplo 226 (DEMO)</t>
        </is>
      </c>
      <c r="D7" s="5" t="inlineStr">
        <is>
          <t>STRETCH</t>
        </is>
      </c>
      <c r="E7" s="8" t="inlineStr">
        <is>
          <t>Rent USD 1,064: above the USD 1,000 target; only worth it if negotiable</t>
        </is>
      </c>
      <c r="F7" s="9" t="n">
        <v>1063.52</v>
      </c>
      <c r="G7" s="5" t="inlineStr">
        <is>
          <t>PEN 3,600</t>
        </is>
      </c>
      <c r="H7" s="5" t="inlineStr">
        <is>
          <t>CALCULATED</t>
        </is>
      </c>
      <c r="I7" s="11" t="n">
        <v>3600</v>
      </c>
      <c r="J7" s="5" t="inlineStr">
        <is>
          <t>S/ 250 (≈ USD 74)</t>
        </is>
      </c>
      <c r="K7" s="5" t="inlineStr">
        <is>
          <t>PUBLISHED</t>
        </is>
      </c>
      <c r="L7" s="9" t="n">
        <v>1137.38</v>
      </c>
      <c r="M7" s="6" t="n">
        <v>2</v>
      </c>
      <c r="N7" s="12" t="n">
        <v>2</v>
      </c>
      <c r="O7" s="6" t="n">
        <v>72</v>
      </c>
      <c r="P7" s="5" t="inlineStr">
        <is>
          <t>built</t>
        </is>
      </c>
      <c r="Q7" s="5" t="inlineStr">
        <is>
          <t>GOOD</t>
        </is>
      </c>
      <c r="R7" s="7" t="n">
        <v>14.77</v>
      </c>
      <c r="S7" s="5" t="inlineStr">
        <is>
          <t>FAIR_VALUE</t>
        </is>
      </c>
      <c r="T7" s="5" t="inlineStr">
        <is>
          <t>Yes</t>
        </is>
      </c>
      <c r="U7" s="5" t="inlineStr">
        <is>
          <t>No</t>
        </is>
      </c>
      <c r="V7" s="5" t="inlineStr">
        <is>
          <t>UNKNOWN</t>
        </is>
      </c>
      <c r="W7" s="5" t="inlineStr">
        <is>
          <t>Yes</t>
        </is>
      </c>
      <c r="X7" s="5" t="inlineStr">
        <is>
          <t>UNKNOWN</t>
        </is>
      </c>
      <c r="Y7" s="5" t="inlineStr">
        <is>
          <t>UNKNOWN</t>
        </is>
      </c>
      <c r="Z7" s="5" t="inlineStr">
        <is>
          <t>Yes</t>
        </is>
      </c>
      <c r="AA7" s="5" t="inlineStr">
        <is>
          <t>Yes</t>
        </is>
      </c>
      <c r="AB7" s="5" t="inlineStr">
        <is>
          <t>UNKNOWN</t>
        </is>
      </c>
      <c r="AC7" s="8" t="inlineStr">
        <is>
          <t>MEDIUM · conf. high</t>
        </is>
      </c>
      <c r="AD7" s="6" t="n">
        <v>66</v>
      </c>
      <c r="AE7" s="8" t="inlineStr">
        <is>
          <t>201 m from Av. Demo Arterial (DEMO); no nightclub mapped within 500 m. Quietness estimate: high confidence.</t>
        </is>
      </c>
      <c r="AF7" s="6" t="n">
        <v>201</v>
      </c>
      <c r="AG7" s="6" t="n">
        <v>1152</v>
      </c>
      <c r="AH7" s="6" t="n">
        <v>0</v>
      </c>
      <c r="AI7" s="8" t="inlineStr">
        <is>
          <t>supermarket 367 m, pharmacy 336 m, bus/Metropolitano stop 293 m</t>
        </is>
      </c>
      <c r="AJ7" s="5" t="inlineStr">
        <is>
          <t>12 months min.</t>
        </is>
      </c>
      <c r="AK7" s="5" t="inlineStr">
        <is>
          <t>2 months deposit</t>
        </is>
      </c>
      <c r="AL7" s="5" t="inlineStr">
        <is>
          <t>UNKNOWN</t>
        </is>
      </c>
      <c r="AM7" s="5" t="inlineStr">
        <is>
          <t>2026-09-23</t>
        </is>
      </c>
      <c r="AN7" s="5" t="inlineStr">
        <is>
          <t>LIKELY_ACTIVE</t>
        </is>
      </c>
      <c r="AO7" s="8" t="inlineStr">
        <is>
          <t>72 m² built area — good for a 2-bedroom; furnished; building security/controlled access</t>
        </is>
      </c>
      <c r="AP7" s="8" t="inlineStr">
        <is>
          <t>rent + maintenance ≈ USD 1,137 (USD 1,064 rent + S/ 250 maintenance) exceeds USD 1,000</t>
        </is>
      </c>
      <c r="AQ7" s="8" t="inlineStr">
        <is>
          <t>INCOMPLETE_CONTACT; PRICE_CONVERTED_FROM_PEN; PRICE_OVER_BUDGET; TOTAL_COST_OVER_BUDGET</t>
        </is>
      </c>
      <c r="AR7" s="5" t="inlineStr">
        <is>
          <t>DEMO Agente H</t>
        </is>
      </c>
      <c r="AS7" s="5" t="inlineStr">
        <is>
          <t>UNKNOWN</t>
        </is>
      </c>
      <c r="AT7" s="5" t="inlineStr">
        <is>
          <t>Urbania</t>
        </is>
      </c>
      <c r="AU7" s="6" t="n">
        <v>1</v>
      </c>
      <c r="AV7" s="5" t="inlineStr">
        <is>
          <t>G0027</t>
        </is>
      </c>
      <c r="AW7" s="5" t="inlineStr"/>
      <c r="AX7" s="10" t="inlineStr">
        <is>
          <t>View listing</t>
        </is>
      </c>
      <c r="AY7" s="5" t="inlineStr">
        <is>
          <t>—</t>
        </is>
      </c>
      <c r="AZ7" s="10" t="inlineStr">
        <is>
          <t>Open map</t>
        </is>
      </c>
      <c r="BA7" s="5" t="inlineStr">
        <is>
          <t>LISTING / EXACT</t>
        </is>
      </c>
      <c r="BB7" s="5" t="inlineStr">
        <is>
          <t>PROGRAMMATIC_PASS</t>
        </is>
      </c>
      <c r="BC7" s="5" t="inlineStr"/>
    </row>
    <row r="8">
      <c r="A8" s="6" t="n">
        <v>4</v>
      </c>
      <c r="B8" s="7" t="n">
        <v>55.6</v>
      </c>
      <c r="C8" s="8" t="inlineStr">
        <is>
          <t>1BR · 42 m² — Calle Ejemplo 124 (DEMO)</t>
        </is>
      </c>
      <c r="D8" s="5" t="inlineStr">
        <is>
          <t>STRETCH</t>
        </is>
      </c>
      <c r="E8" s="8" t="inlineStr">
        <is>
          <t>Rent USD 1,040: above the USD 1,000 target; only worth it if negotiable</t>
        </is>
      </c>
      <c r="F8" s="9" t="n">
        <v>1040</v>
      </c>
      <c r="G8" s="5" t="inlineStr">
        <is>
          <t>USD 1,040</t>
        </is>
      </c>
      <c r="H8" s="5" t="inlineStr">
        <is>
          <t>PUBLISHED</t>
        </is>
      </c>
      <c r="I8" s="11" t="n">
        <v>3520.4</v>
      </c>
      <c r="J8" s="5" t="inlineStr">
        <is>
          <t>S/ 350 (≈ USD 103)</t>
        </is>
      </c>
      <c r="K8" s="5" t="inlineStr">
        <is>
          <t>PUBLISHED</t>
        </is>
      </c>
      <c r="L8" s="9" t="n">
        <v>1143.4</v>
      </c>
      <c r="M8" s="6" t="n">
        <v>1</v>
      </c>
      <c r="N8" s="12" t="n">
        <v>1</v>
      </c>
      <c r="O8" s="6" t="n">
        <v>42</v>
      </c>
      <c r="P8" s="5" t="inlineStr">
        <is>
          <t>built</t>
        </is>
      </c>
      <c r="Q8" s="5" t="inlineStr">
        <is>
          <t>ACCEPTABLE</t>
        </is>
      </c>
      <c r="R8" s="7" t="n">
        <v>24.76</v>
      </c>
      <c r="S8" s="8" t="inlineStr">
        <is>
          <t>EXPENSIVE_RELATIVE_TO_SAMPLE</t>
        </is>
      </c>
      <c r="T8" s="5" t="inlineStr">
        <is>
          <t>No</t>
        </is>
      </c>
      <c r="U8" s="5" t="inlineStr">
        <is>
          <t>UNKNOWN</t>
        </is>
      </c>
      <c r="V8" s="5" t="inlineStr">
        <is>
          <t>UNKNOWN</t>
        </is>
      </c>
      <c r="W8" s="5" t="inlineStr">
        <is>
          <t>Yes</t>
        </is>
      </c>
      <c r="X8" s="5" t="inlineStr">
        <is>
          <t>Yes</t>
        </is>
      </c>
      <c r="Y8" s="5" t="inlineStr">
        <is>
          <t>Yes</t>
        </is>
      </c>
      <c r="Z8" s="5" t="inlineStr">
        <is>
          <t>Yes</t>
        </is>
      </c>
      <c r="AA8" s="5" t="inlineStr">
        <is>
          <t>Yes</t>
        </is>
      </c>
      <c r="AB8" s="5" t="inlineStr">
        <is>
          <t>UNKNOWN</t>
        </is>
      </c>
      <c r="AC8" s="5" t="inlineStr">
        <is>
          <t>LOW · conf. high</t>
        </is>
      </c>
      <c r="AD8" s="6" t="n">
        <v>72</v>
      </c>
      <c r="AE8" s="8" t="inlineStr">
        <is>
          <t>Nearest major road (Vía Demo Expresa (DEMO)) 505 m away; no nightclub mapped within 500 m. Quietness estimate: high confidence.</t>
        </is>
      </c>
      <c r="AF8" s="6" t="n">
        <v>505</v>
      </c>
      <c r="AG8" s="6" t="n">
        <v>1116</v>
      </c>
      <c r="AH8" s="6" t="n">
        <v>0</v>
      </c>
      <c r="AI8" s="8" t="inlineStr">
        <is>
          <t>supermarket 264 m, pharmacy 125 m</t>
        </is>
      </c>
      <c r="AJ8" s="5" t="inlineStr">
        <is>
          <t>12 months min.</t>
        </is>
      </c>
      <c r="AK8" s="5" t="inlineStr">
        <is>
          <t>2 months deposit</t>
        </is>
      </c>
      <c r="AL8" s="5" t="inlineStr">
        <is>
          <t>UNKNOWN</t>
        </is>
      </c>
      <c r="AM8" s="5" t="inlineStr">
        <is>
          <t>2026-09-13</t>
        </is>
      </c>
      <c r="AN8" s="5" t="inlineStr">
        <is>
          <t>LIKELY_ACTIVE</t>
        </is>
      </c>
      <c r="AO8" s="8" t="inlineStr">
        <is>
          <t>low estimated noise (72/100); building security/controlled access; balcony/terrace</t>
        </is>
      </c>
      <c r="AP8" s="8" t="inlineStr">
        <is>
          <t>rent + maintenance ≈ USD 1,143 (USD 1,040 rent + S/ 350 maintenance) exceeds USD 1,000</t>
        </is>
      </c>
      <c r="AQ8" s="8" t="inlineStr">
        <is>
          <t>NO_FURNITURE; PRICE_OVER_BUDGET; TOTAL_COST_OVER_BUDGET</t>
        </is>
      </c>
      <c r="AR8" s="8" t="inlineStr">
        <is>
          <t>DEMO Inmobiliaria E</t>
        </is>
      </c>
      <c r="AS8" s="5" t="inlineStr">
        <is>
          <t>+5110001024</t>
        </is>
      </c>
      <c r="AT8" s="5" t="inlineStr">
        <is>
          <t>Urbania</t>
        </is>
      </c>
      <c r="AU8" s="6" t="n">
        <v>1</v>
      </c>
      <c r="AV8" s="5" t="inlineStr">
        <is>
          <t>G0025</t>
        </is>
      </c>
      <c r="AW8" s="5" t="inlineStr"/>
      <c r="AX8" s="10" t="inlineStr">
        <is>
          <t>View listing</t>
        </is>
      </c>
      <c r="AY8" s="5" t="inlineStr">
        <is>
          <t>—</t>
        </is>
      </c>
      <c r="AZ8" s="10" t="inlineStr">
        <is>
          <t>Open map</t>
        </is>
      </c>
      <c r="BA8" s="5" t="inlineStr">
        <is>
          <t>LISTING / EXACT</t>
        </is>
      </c>
      <c r="BB8" s="5" t="inlineStr">
        <is>
          <t>PROGRAMMATIC_PASS</t>
        </is>
      </c>
      <c r="BC8" s="5" t="inlineStr"/>
    </row>
    <row r="9">
      <c r="A9" s="6" t="n">
        <v>5</v>
      </c>
      <c r="B9" s="7" t="n">
        <v>55.5</v>
      </c>
      <c r="C9" s="8" t="inlineStr">
        <is>
          <t>1BR · 65 m² — Av. Ejemplo 213 (DEMO)</t>
        </is>
      </c>
      <c r="D9" s="5" t="inlineStr">
        <is>
          <t>STRETCH</t>
        </is>
      </c>
      <c r="E9" s="8" t="inlineStr">
        <is>
          <t>Rent USD 1,049: above the USD 1,000 target; only worth it if negotiable</t>
        </is>
      </c>
      <c r="F9" s="9" t="n">
        <v>1048.74</v>
      </c>
      <c r="G9" s="5" t="inlineStr">
        <is>
          <t>PEN 3,550</t>
        </is>
      </c>
      <c r="H9" s="5" t="inlineStr">
        <is>
          <t>CALCULATED</t>
        </is>
      </c>
      <c r="I9" s="11" t="n">
        <v>3550</v>
      </c>
      <c r="J9" s="5" t="inlineStr">
        <is>
          <t>S/ 300 (≈ USD 89)</t>
        </is>
      </c>
      <c r="K9" s="5" t="inlineStr">
        <is>
          <t>PUBLISHED</t>
        </is>
      </c>
      <c r="L9" s="9" t="n">
        <v>1137.37</v>
      </c>
      <c r="M9" s="6" t="n">
        <v>1</v>
      </c>
      <c r="N9" s="12" t="n">
        <v>2</v>
      </c>
      <c r="O9" s="6" t="n">
        <v>65</v>
      </c>
      <c r="P9" s="5" t="inlineStr">
        <is>
          <t>built</t>
        </is>
      </c>
      <c r="Q9" s="5" t="inlineStr">
        <is>
          <t>VERY_SPACIOUS</t>
        </is>
      </c>
      <c r="R9" s="7" t="n">
        <v>16.13</v>
      </c>
      <c r="S9" s="5" t="inlineStr">
        <is>
          <t>FAIR_VALUE</t>
        </is>
      </c>
      <c r="T9" s="5" t="inlineStr">
        <is>
          <t>Semi</t>
        </is>
      </c>
      <c r="U9" s="5" t="inlineStr">
        <is>
          <t>No</t>
        </is>
      </c>
      <c r="V9" s="5" t="inlineStr">
        <is>
          <t>UNKNOWN</t>
        </is>
      </c>
      <c r="W9" s="5" t="inlineStr">
        <is>
          <t>UNKNOWN</t>
        </is>
      </c>
      <c r="X9" s="5" t="inlineStr">
        <is>
          <t>UNKNOWN</t>
        </is>
      </c>
      <c r="Y9" s="5" t="inlineStr">
        <is>
          <t>UNKNOWN</t>
        </is>
      </c>
      <c r="Z9" s="5" t="inlineStr">
        <is>
          <t>UNKNOWN</t>
        </is>
      </c>
      <c r="AA9" s="5" t="inlineStr">
        <is>
          <t>UNKNOWN</t>
        </is>
      </c>
      <c r="AB9" s="5" t="inlineStr">
        <is>
          <t>Yes</t>
        </is>
      </c>
      <c r="AC9" s="5" t="inlineStr">
        <is>
          <t>LOW · conf. high</t>
        </is>
      </c>
      <c r="AD9" s="6" t="n">
        <v>81</v>
      </c>
      <c r="AE9" s="8" t="inlineStr">
        <is>
          <t>Nearest major road (Av. Demo Arterial (DEMO)) 414 m away; nightclub 424 m away; listing says interior-facing / contrafrente; seller describes the street as quiet (unverified claim). Quietness estimate: high confidence.</t>
        </is>
      </c>
      <c r="AF9" s="6" t="n">
        <v>414</v>
      </c>
      <c r="AG9" s="6" t="n">
        <v>424</v>
      </c>
      <c r="AH9" s="6" t="n">
        <v>0</v>
      </c>
      <c r="AI9" s="5" t="inlineStr">
        <is>
          <t>UNKNOWN</t>
        </is>
      </c>
      <c r="AJ9" s="5" t="inlineStr">
        <is>
          <t>6 months min.</t>
        </is>
      </c>
      <c r="AK9" s="5" t="inlineStr">
        <is>
          <t>UNKNOWN</t>
        </is>
      </c>
      <c r="AL9" s="5" t="inlineStr">
        <is>
          <t>UNKNOWN</t>
        </is>
      </c>
      <c r="AM9" s="5" t="inlineStr">
        <is>
          <t>2026-07-28</t>
        </is>
      </c>
      <c r="AN9" s="5" t="inlineStr">
        <is>
          <t>LIKELY_ACTIVE</t>
        </is>
      </c>
      <c r="AO9" s="8" t="inlineStr">
        <is>
          <t>65 m² built area — very spacious for a 1-bedroom; low estimated noise (81/100); interior-facing</t>
        </is>
      </c>
      <c r="AP9" s="8" t="inlineStr">
        <is>
          <t>rent + maintenance ≈ USD 1,137 (USD 1,049 rent + S/ 300 maintenance) exceeds USD 1,000</t>
        </is>
      </c>
      <c r="AQ9" s="8" t="inlineStr">
        <is>
          <t>INCOMPLETE_CONTACT; PRICE_CONVERTED_FROM_PEN; PRICE_OVER_BUDGET; TOTAL_COST_OVER_BUDGET</t>
        </is>
      </c>
      <c r="AR9" s="5" t="inlineStr">
        <is>
          <t>DEMO Agente G</t>
        </is>
      </c>
      <c r="AS9" s="5" t="inlineStr">
        <is>
          <t>UNKNOWN</t>
        </is>
      </c>
      <c r="AT9" s="5" t="inlineStr">
        <is>
          <t>Adondevivir</t>
        </is>
      </c>
      <c r="AU9" s="6" t="n">
        <v>1</v>
      </c>
      <c r="AV9" s="5" t="inlineStr">
        <is>
          <t>G0014</t>
        </is>
      </c>
      <c r="AW9" s="5" t="inlineStr"/>
      <c r="AX9" s="10" t="inlineStr">
        <is>
          <t>View listing</t>
        </is>
      </c>
      <c r="AY9" s="5" t="inlineStr">
        <is>
          <t>—</t>
        </is>
      </c>
      <c r="AZ9" s="10" t="inlineStr">
        <is>
          <t>Open map</t>
        </is>
      </c>
      <c r="BA9" s="5" t="inlineStr">
        <is>
          <t>LISTING / EXACT</t>
        </is>
      </c>
      <c r="BB9" s="5" t="inlineStr">
        <is>
          <t>PROGRAMMATIC_PASS</t>
        </is>
      </c>
      <c r="BC9" s="5" t="inlineStr"/>
    </row>
    <row r="10">
      <c r="A10" s="6" t="n">
        <v>6</v>
      </c>
      <c r="B10" s="7" t="n">
        <v>37.4</v>
      </c>
      <c r="C10" s="8" t="inlineStr">
        <is>
          <t>1BR · 38 m² — Calle Ejemplo 121 (DEMO)</t>
        </is>
      </c>
      <c r="D10" s="5" t="inlineStr">
        <is>
          <t>STRETCH</t>
        </is>
      </c>
      <c r="E10" s="8" t="inlineStr">
        <is>
          <t>Rent USD 1,030: above the USD 1,000 target; only worth it if negotiable</t>
        </is>
      </c>
      <c r="F10" s="9" t="n">
        <v>1030</v>
      </c>
      <c r="G10" s="5" t="inlineStr">
        <is>
          <t>USD 1,030</t>
        </is>
      </c>
      <c r="H10" s="5" t="inlineStr">
        <is>
          <t>PUBLISHED</t>
        </is>
      </c>
      <c r="I10" s="11" t="n">
        <v>3486.55</v>
      </c>
      <c r="J10" s="5" t="inlineStr">
        <is>
          <t>S/ 300 (≈ USD 89)</t>
        </is>
      </c>
      <c r="K10" s="5" t="inlineStr">
        <is>
          <t>PUBLISHED</t>
        </is>
      </c>
      <c r="L10" s="9" t="n">
        <v>1118.63</v>
      </c>
      <c r="M10" s="6" t="n">
        <v>1</v>
      </c>
      <c r="N10" s="12" t="n">
        <v>2</v>
      </c>
      <c r="O10" s="6" t="n">
        <v>38</v>
      </c>
      <c r="P10" s="5" t="inlineStr">
        <is>
          <t>built</t>
        </is>
      </c>
      <c r="Q10" s="5" t="inlineStr">
        <is>
          <t>SMALL</t>
        </is>
      </c>
      <c r="R10" s="7" t="n">
        <v>27.11</v>
      </c>
      <c r="S10" s="8" t="inlineStr">
        <is>
          <t>EXPENSIVE_RELATIVE_TO_SAMPLE</t>
        </is>
      </c>
      <c r="T10" s="5" t="inlineStr">
        <is>
          <t>UNKNOWN</t>
        </is>
      </c>
      <c r="U10" s="5" t="inlineStr">
        <is>
          <t>UNKNOWN</t>
        </is>
      </c>
      <c r="V10" s="5" t="n">
        <v>1</v>
      </c>
      <c r="W10" s="5" t="inlineStr">
        <is>
          <t>Yes</t>
        </is>
      </c>
      <c r="X10" s="5" t="inlineStr">
        <is>
          <t>Yes</t>
        </is>
      </c>
      <c r="Y10" s="5" t="inlineStr">
        <is>
          <t>UNKNOWN</t>
        </is>
      </c>
      <c r="Z10" s="5" t="inlineStr">
        <is>
          <t>UNKNOWN</t>
        </is>
      </c>
      <c r="AA10" s="5" t="inlineStr">
        <is>
          <t>UNKNOWN</t>
        </is>
      </c>
      <c r="AB10" s="5" t="inlineStr">
        <is>
          <t>UNKNOWN</t>
        </is>
      </c>
      <c r="AC10" s="5" t="inlineStr">
        <is>
          <t>HIGH · conf. low</t>
        </is>
      </c>
      <c r="AD10" s="6" t="n">
        <v>42</v>
      </c>
      <c r="AE10" s="8" t="inlineStr">
        <is>
          <t>17 m from Vía Demo Expresa (DEMO) (major road); no nightclub mapped within 500 m; portal location is approximate. Quietness estimate: low confidence.</t>
        </is>
      </c>
      <c r="AF10" s="6" t="n">
        <v>17</v>
      </c>
      <c r="AG10" s="6" t="n">
        <v>1339</v>
      </c>
      <c r="AH10" s="6" t="n">
        <v>0</v>
      </c>
      <c r="AI10" s="5" t="inlineStr">
        <is>
          <t>UNKNOWN</t>
        </is>
      </c>
      <c r="AJ10" s="5" t="inlineStr">
        <is>
          <t>UNKNOWN</t>
        </is>
      </c>
      <c r="AK10" s="5" t="inlineStr">
        <is>
          <t>UNKNOWN</t>
        </is>
      </c>
      <c r="AL10" s="5" t="inlineStr">
        <is>
          <t>UNKNOWN</t>
        </is>
      </c>
      <c r="AM10" s="5" t="inlineStr">
        <is>
          <t>2026-09-05</t>
        </is>
      </c>
      <c r="AN10" s="5" t="inlineStr">
        <is>
          <t>LIKELY_ACTIVE</t>
        </is>
      </c>
      <c r="AO10" s="5" t="inlineStr">
        <is>
          <t>balcony/terrace</t>
        </is>
      </c>
      <c r="AP10" s="8" t="inlineStr">
        <is>
          <t>high estimated noise: 17 m from Vía Demo Expresa (DEMO) (major road)</t>
        </is>
      </c>
      <c r="AQ10" s="8" t="inlineStr">
        <is>
          <t>APPROXIMATE_LOCATION; DIRECT_MAJOR_AVENUE; HIGH_NOISE_RISK; PRICE_OVER_BUDGET; TOTAL_COST_OVER_BUDGET</t>
        </is>
      </c>
      <c r="AR10" s="8" t="inlineStr">
        <is>
          <t>DEMO Inmobiliaria B</t>
        </is>
      </c>
      <c r="AS10" s="5" t="inlineStr">
        <is>
          <t>+5110001021</t>
        </is>
      </c>
      <c r="AT10" s="5" t="inlineStr">
        <is>
          <t>Adondevivir</t>
        </is>
      </c>
      <c r="AU10" s="6" t="n">
        <v>1</v>
      </c>
      <c r="AV10" s="5" t="inlineStr">
        <is>
          <t>G0022</t>
        </is>
      </c>
      <c r="AW10" s="5" t="inlineStr"/>
      <c r="AX10" s="10" t="inlineStr">
        <is>
          <t>View listing</t>
        </is>
      </c>
      <c r="AY10" s="5" t="inlineStr">
        <is>
          <t>—</t>
        </is>
      </c>
      <c r="AZ10" s="10" t="inlineStr">
        <is>
          <t>Open map</t>
        </is>
      </c>
      <c r="BA10" s="8" t="inlineStr">
        <is>
          <t>LISTING / APPROXIMATE</t>
        </is>
      </c>
      <c r="BB10" s="5" t="inlineStr">
        <is>
          <t>PROGRAMMATIC_PASS</t>
        </is>
      </c>
      <c r="BC10" s="5" t="inlineStr"/>
    </row>
    <row r="11">
      <c r="A11" s="6" t="n">
        <v>7</v>
      </c>
      <c r="B11" s="7" t="n">
        <v>49.3</v>
      </c>
      <c r="C11" s="8" t="inlineStr">
        <is>
          <t>1BR · 64 m² — Av. Ejemplo 207 (DEMO)</t>
        </is>
      </c>
      <c r="D11" s="5" t="inlineStr">
        <is>
          <t>STRETCH</t>
        </is>
      </c>
      <c r="E11" s="8" t="inlineStr">
        <is>
          <t>Rent USD 1,019: above the USD 1,000 target; only worth it if negotiable</t>
        </is>
      </c>
      <c r="F11" s="9" t="n">
        <v>1019.2</v>
      </c>
      <c r="G11" s="5" t="inlineStr">
        <is>
          <t>PEN 3,450</t>
        </is>
      </c>
      <c r="H11" s="5" t="inlineStr">
        <is>
          <t>CALCULATED</t>
        </is>
      </c>
      <c r="I11" s="11" t="n">
        <v>3450</v>
      </c>
      <c r="J11" s="5" t="inlineStr">
        <is>
          <t>S/ 350 (≈ USD 103)</t>
        </is>
      </c>
      <c r="K11" s="5" t="inlineStr">
        <is>
          <t>PUBLISHED</t>
        </is>
      </c>
      <c r="L11" s="9" t="n">
        <v>1122.6</v>
      </c>
      <c r="M11" s="6" t="n">
        <v>1</v>
      </c>
      <c r="N11" s="12" t="n">
        <v>1</v>
      </c>
      <c r="O11" s="6" t="n">
        <v>64</v>
      </c>
      <c r="P11" s="5" t="inlineStr">
        <is>
          <t>built</t>
        </is>
      </c>
      <c r="Q11" s="5" t="inlineStr">
        <is>
          <t>VERY_SPACIOUS</t>
        </is>
      </c>
      <c r="R11" s="7" t="n">
        <v>15.93</v>
      </c>
      <c r="S11" s="5" t="inlineStr">
        <is>
          <t>GOOD_VALUE</t>
        </is>
      </c>
      <c r="T11" s="5" t="inlineStr">
        <is>
          <t>Semi</t>
        </is>
      </c>
      <c r="U11" s="5" t="inlineStr">
        <is>
          <t>No</t>
        </is>
      </c>
      <c r="V11" s="5" t="inlineStr">
        <is>
          <t>UNKNOWN</t>
        </is>
      </c>
      <c r="W11" s="5" t="inlineStr">
        <is>
          <t>Yes</t>
        </is>
      </c>
      <c r="X11" s="5" t="inlineStr">
        <is>
          <t>UNKNOWN</t>
        </is>
      </c>
      <c r="Y11" s="5" t="inlineStr">
        <is>
          <t>UNKNOWN</t>
        </is>
      </c>
      <c r="Z11" s="5" t="inlineStr">
        <is>
          <t>Yes</t>
        </is>
      </c>
      <c r="AA11" s="5" t="inlineStr">
        <is>
          <t>Yes</t>
        </is>
      </c>
      <c r="AB11" s="5" t="inlineStr">
        <is>
          <t>UNKNOWN</t>
        </is>
      </c>
      <c r="AC11" s="5" t="inlineStr">
        <is>
          <t>HIGH · conf. high</t>
        </is>
      </c>
      <c r="AD11" s="6" t="n">
        <v>38</v>
      </c>
      <c r="AE11" s="8" t="inlineStr">
        <is>
          <t>36 m from Vía Demo Expresa (DEMO) (major road); no nightclub mapped within 500 m; street-facing unit near a major road. Quietness estimate: high confidence.</t>
        </is>
      </c>
      <c r="AF11" s="6" t="n">
        <v>36</v>
      </c>
      <c r="AG11" s="6" t="n">
        <v>1334</v>
      </c>
      <c r="AH11" s="6" t="n">
        <v>0</v>
      </c>
      <c r="AI11" s="5" t="inlineStr">
        <is>
          <t>UNKNOWN</t>
        </is>
      </c>
      <c r="AJ11" s="5" t="inlineStr">
        <is>
          <t>12 months min.</t>
        </is>
      </c>
      <c r="AK11" s="5" t="inlineStr">
        <is>
          <t>2 months deposit</t>
        </is>
      </c>
      <c r="AL11" s="5" t="inlineStr">
        <is>
          <t>UNKNOWN</t>
        </is>
      </c>
      <c r="AM11" s="5" t="inlineStr">
        <is>
          <t>2026-08-02</t>
        </is>
      </c>
      <c r="AN11" s="5" t="inlineStr">
        <is>
          <t>LIKELY_ACTIVE</t>
        </is>
      </c>
      <c r="AO11" s="8" t="inlineStr">
        <is>
          <t>64 m² built area — very spacious for a 1-bedroom; USD 15.9/m² (good value vs other 1BR in sample); building security/controlled access</t>
        </is>
      </c>
      <c r="AP11" s="8" t="inlineStr">
        <is>
          <t>high estimated noise: 36 m from Vía Demo Expresa (DEMO) (major road)</t>
        </is>
      </c>
      <c r="AQ11" s="8" t="inlineStr">
        <is>
          <t>DIRECT_MAJOR_AVENUE; HIGH_NOISE_RISK; INCOMPLETE_CONTACT; PRICE_CONVERTED_FROM_PEN; PRICE_OVER_BUDGET; TOTAL_COST_OVER_BUDGET</t>
        </is>
      </c>
      <c r="AR11" s="5" t="inlineStr">
        <is>
          <t>DEMO Agente I</t>
        </is>
      </c>
      <c r="AS11" s="5" t="inlineStr">
        <is>
          <t>UNKNOWN</t>
        </is>
      </c>
      <c r="AT11" s="5" t="inlineStr">
        <is>
          <t>Adondevivir</t>
        </is>
      </c>
      <c r="AU11" s="6" t="n">
        <v>1</v>
      </c>
      <c r="AV11" s="5" t="inlineStr">
        <is>
          <t>G0008</t>
        </is>
      </c>
      <c r="AW11" s="5" t="inlineStr"/>
      <c r="AX11" s="10" t="inlineStr">
        <is>
          <t>View listing</t>
        </is>
      </c>
      <c r="AY11" s="5" t="inlineStr">
        <is>
          <t>—</t>
        </is>
      </c>
      <c r="AZ11" s="10" t="inlineStr">
        <is>
          <t>Open map</t>
        </is>
      </c>
      <c r="BA11" s="5" t="inlineStr">
        <is>
          <t>LISTING / EXACT</t>
        </is>
      </c>
      <c r="BB11" s="5" t="inlineStr">
        <is>
          <t>PROGRAMMATIC_PASS</t>
        </is>
      </c>
      <c r="BC11" s="5" t="inlineStr"/>
    </row>
    <row r="12">
      <c r="A12" s="6" t="n">
        <v>8</v>
      </c>
      <c r="B12" s="7" t="n">
        <v>42.8</v>
      </c>
      <c r="C12" s="8" t="inlineStr">
        <is>
          <t>2BR · 73 m² — Av. Ejemplo 217 (DEMO)</t>
        </is>
      </c>
      <c r="D12" s="5" t="inlineStr">
        <is>
          <t>STRETCH</t>
        </is>
      </c>
      <c r="E12" s="8" t="inlineStr">
        <is>
          <t>Rent USD 1,049: above the USD 1,000 target; only worth it if negotiable</t>
        </is>
      </c>
      <c r="F12" s="9" t="n">
        <v>1048.74</v>
      </c>
      <c r="G12" s="5" t="inlineStr">
        <is>
          <t>PEN 3,550</t>
        </is>
      </c>
      <c r="H12" s="5" t="inlineStr">
        <is>
          <t>CALCULATED</t>
        </is>
      </c>
      <c r="I12" s="11" t="n">
        <v>3550</v>
      </c>
      <c r="J12" s="5" t="inlineStr">
        <is>
          <t>S/ 250 (≈ USD 74)</t>
        </is>
      </c>
      <c r="K12" s="5" t="inlineStr">
        <is>
          <t>PUBLISHED</t>
        </is>
      </c>
      <c r="L12" s="9" t="n">
        <v>1122.6</v>
      </c>
      <c r="M12" s="6" t="n">
        <v>2</v>
      </c>
      <c r="N12" s="12" t="n">
        <v>1</v>
      </c>
      <c r="O12" s="6" t="n">
        <v>73</v>
      </c>
      <c r="P12" s="5" t="inlineStr">
        <is>
          <t>built</t>
        </is>
      </c>
      <c r="Q12" s="5" t="inlineStr">
        <is>
          <t>GOOD</t>
        </is>
      </c>
      <c r="R12" s="7" t="n">
        <v>14.37</v>
      </c>
      <c r="S12" s="5" t="inlineStr">
        <is>
          <t>FAIR_VALUE</t>
        </is>
      </c>
      <c r="T12" s="5" t="inlineStr">
        <is>
          <t>Yes</t>
        </is>
      </c>
      <c r="U12" s="5" t="inlineStr">
        <is>
          <t>No</t>
        </is>
      </c>
      <c r="V12" s="5" t="inlineStr">
        <is>
          <t>UNKNOWN</t>
        </is>
      </c>
      <c r="W12" s="5" t="inlineStr">
        <is>
          <t>UNKNOWN</t>
        </is>
      </c>
      <c r="X12" s="5" t="inlineStr">
        <is>
          <t>UNKNOWN</t>
        </is>
      </c>
      <c r="Y12" s="5" t="inlineStr">
        <is>
          <t>UNKNOWN</t>
        </is>
      </c>
      <c r="Z12" s="5" t="inlineStr">
        <is>
          <t>Yes</t>
        </is>
      </c>
      <c r="AA12" s="5" t="inlineStr">
        <is>
          <t>UNKNOWN</t>
        </is>
      </c>
      <c r="AB12" s="5" t="inlineStr">
        <is>
          <t>UNKNOWN</t>
        </is>
      </c>
      <c r="AC12" s="5" t="inlineStr">
        <is>
          <t>HIGH · conf. high</t>
        </is>
      </c>
      <c r="AD12" s="6" t="n">
        <v>15</v>
      </c>
      <c r="AE12" s="8" t="inlineStr">
        <is>
          <t>136 m from Av. Demo Arterial (DEMO) (major road); nightclub 'Discoteca Demo (DEMO)' 109 m away; 1 bar(s) within 150 m; listing says it faces an avenue. Quietness estimate: high confidence.</t>
        </is>
      </c>
      <c r="AF12" s="6" t="n">
        <v>136</v>
      </c>
      <c r="AG12" s="6" t="n">
        <v>109</v>
      </c>
      <c r="AH12" s="6" t="n">
        <v>1</v>
      </c>
      <c r="AI12" s="8" t="inlineStr">
        <is>
          <t>bus/Metropolitano stop 170 m</t>
        </is>
      </c>
      <c r="AJ12" s="5" t="inlineStr">
        <is>
          <t>UNKNOWN</t>
        </is>
      </c>
      <c r="AK12" s="5" t="inlineStr">
        <is>
          <t>UNKNOWN</t>
        </is>
      </c>
      <c r="AL12" s="5" t="inlineStr">
        <is>
          <t>UNKNOWN</t>
        </is>
      </c>
      <c r="AM12" s="5" t="inlineStr">
        <is>
          <t>2026-08-22</t>
        </is>
      </c>
      <c r="AN12" s="5" t="inlineStr">
        <is>
          <t>LIKELY_ACTIVE</t>
        </is>
      </c>
      <c r="AO12" s="8" t="inlineStr">
        <is>
          <t>73 m² built area — good for a 2-bedroom; furnished; building security/controlled access</t>
        </is>
      </c>
      <c r="AP12" s="8" t="inlineStr">
        <is>
          <t>high estimated noise: 136 m from Av. Demo Arterial (DEMO) (major road)</t>
        </is>
      </c>
      <c r="AQ12" s="8" t="inlineStr">
        <is>
          <t>DIRECT_MAJOR_AVENUE; HIGH_NOISE_RISK; INCOMPLETE_CONTACT; NIGHTLIFE_PROXIMITY; PRICE_CONVERTED_FROM_PEN; PRICE_OVER_BUDGET; TOTAL_COST_OVER_BUDGET</t>
        </is>
      </c>
      <c r="AR12" s="5" t="inlineStr">
        <is>
          <t>DEMO Agente G</t>
        </is>
      </c>
      <c r="AS12" s="5" t="inlineStr">
        <is>
          <t>UNKNOWN</t>
        </is>
      </c>
      <c r="AT12" s="5" t="inlineStr">
        <is>
          <t>Adondevivir</t>
        </is>
      </c>
      <c r="AU12" s="6" t="n">
        <v>1</v>
      </c>
      <c r="AV12" s="5" t="inlineStr">
        <is>
          <t>G0018</t>
        </is>
      </c>
      <c r="AW12" s="5" t="inlineStr"/>
      <c r="AX12" s="10" t="inlineStr">
        <is>
          <t>View listing</t>
        </is>
      </c>
      <c r="AY12" s="5" t="inlineStr">
        <is>
          <t>—</t>
        </is>
      </c>
      <c r="AZ12" s="10" t="inlineStr">
        <is>
          <t>Open map</t>
        </is>
      </c>
      <c r="BA12" s="5" t="inlineStr">
        <is>
          <t>LISTING / EXACT</t>
        </is>
      </c>
      <c r="BB12" s="5" t="inlineStr">
        <is>
          <t>PROGRAMMATIC_PASS</t>
        </is>
      </c>
      <c r="BC12" s="5" t="inlineStr"/>
    </row>
    <row r="13">
      <c r="A13" s="6" t="n">
        <v>9</v>
      </c>
      <c r="B13" s="7" t="n">
        <v>41.6</v>
      </c>
      <c r="C13" s="8" t="inlineStr">
        <is>
          <t>1BR · 44 m² — Av. Ejemplo 219 (DEMO)</t>
        </is>
      </c>
      <c r="D13" s="5" t="inlineStr">
        <is>
          <t>STRETCH</t>
        </is>
      </c>
      <c r="E13" s="8" t="inlineStr">
        <is>
          <t>Rent USD 1,034: above the USD 1,000 target; only worth it if negotiable</t>
        </is>
      </c>
      <c r="F13" s="9" t="n">
        <v>1033.97</v>
      </c>
      <c r="G13" s="5" t="inlineStr">
        <is>
          <t>PEN 3,500</t>
        </is>
      </c>
      <c r="H13" s="5" t="inlineStr">
        <is>
          <t>CALCULATED</t>
        </is>
      </c>
      <c r="I13" s="11" t="n">
        <v>3500</v>
      </c>
      <c r="J13" s="5" t="inlineStr">
        <is>
          <t>S/ 300 (≈ USD 89)</t>
        </is>
      </c>
      <c r="K13" s="5" t="inlineStr">
        <is>
          <t>PUBLISHED</t>
        </is>
      </c>
      <c r="L13" s="9" t="n">
        <v>1122.6</v>
      </c>
      <c r="M13" s="6" t="n">
        <v>1</v>
      </c>
      <c r="N13" s="12" t="n">
        <v>2</v>
      </c>
      <c r="O13" s="6" t="n">
        <v>44</v>
      </c>
      <c r="P13" s="5" t="inlineStr">
        <is>
          <t>built</t>
        </is>
      </c>
      <c r="Q13" s="5" t="inlineStr">
        <is>
          <t>ACCEPTABLE</t>
        </is>
      </c>
      <c r="R13" s="7" t="n">
        <v>23.5</v>
      </c>
      <c r="S13" s="8" t="inlineStr">
        <is>
          <t>EXPENSIVE_RELATIVE_TO_SAMPLE</t>
        </is>
      </c>
      <c r="T13" s="5" t="inlineStr">
        <is>
          <t>UNKNOWN</t>
        </is>
      </c>
      <c r="U13" s="5" t="inlineStr">
        <is>
          <t>No</t>
        </is>
      </c>
      <c r="V13" s="5" t="n">
        <v>3</v>
      </c>
      <c r="W13" s="5" t="inlineStr">
        <is>
          <t>Yes</t>
        </is>
      </c>
      <c r="X13" s="5" t="inlineStr">
        <is>
          <t>UNKNOWN</t>
        </is>
      </c>
      <c r="Y13" s="5" t="inlineStr">
        <is>
          <t>UNKNOWN</t>
        </is>
      </c>
      <c r="Z13" s="5" t="inlineStr">
        <is>
          <t>UNKNOWN</t>
        </is>
      </c>
      <c r="AA13" s="5" t="inlineStr">
        <is>
          <t>UNKNOWN</t>
        </is>
      </c>
      <c r="AB13" s="5" t="inlineStr">
        <is>
          <t>UNKNOWN</t>
        </is>
      </c>
      <c r="AC13" s="8" t="inlineStr">
        <is>
          <t>HIGH · conf. medium</t>
        </is>
      </c>
      <c r="AD13" s="6" t="n">
        <v>45</v>
      </c>
      <c r="AE13" s="8" t="inlineStr">
        <is>
          <t>114 m from Av. Demo Arterial (DEMO) (major road); nightclub 'Discoteca Demo (DEMO)' 276 m away. Quietness estimate: medium confidence.</t>
        </is>
      </c>
      <c r="AF13" s="6" t="n">
        <v>114</v>
      </c>
      <c r="AG13" s="6" t="n">
        <v>276</v>
      </c>
      <c r="AH13" s="6" t="n">
        <v>0</v>
      </c>
      <c r="AI13" s="8" t="inlineStr">
        <is>
          <t>bus/Metropolitano stop 393 m</t>
        </is>
      </c>
      <c r="AJ13" s="5" t="inlineStr">
        <is>
          <t>UNKNOWN</t>
        </is>
      </c>
      <c r="AK13" s="5" t="inlineStr">
        <is>
          <t>UNKNOWN</t>
        </is>
      </c>
      <c r="AL13" s="5" t="inlineStr">
        <is>
          <t>UNKNOWN</t>
        </is>
      </c>
      <c r="AM13" s="5" t="inlineStr">
        <is>
          <t>2026-09-10</t>
        </is>
      </c>
      <c r="AN13" s="5" t="inlineStr">
        <is>
          <t>LIKELY_ACTIVE</t>
        </is>
      </c>
      <c r="AO13" s="5" t="inlineStr">
        <is>
          <t>balcony/terrace</t>
        </is>
      </c>
      <c r="AP13" s="8" t="inlineStr">
        <is>
          <t>high estimated noise: 114 m from Av. Demo Arterial (DEMO) (major road)</t>
        </is>
      </c>
      <c r="AQ13" s="8" t="inlineStr">
        <is>
          <t>HIGH_NOISE_RISK; INCOMPLETE_CONTACT; NIGHTLIFE_PROXIMITY; PRICE_CONVERTED_FROM_PEN; PRICE_OVER_BUDGET; TOTAL_COST_OVER_BUDGET</t>
        </is>
      </c>
      <c r="AR13" s="5" t="inlineStr">
        <is>
          <t>DEMO Agente I</t>
        </is>
      </c>
      <c r="AS13" s="5" t="inlineStr">
        <is>
          <t>UNKNOWN</t>
        </is>
      </c>
      <c r="AT13" s="5" t="inlineStr">
        <is>
          <t>Adondevivir</t>
        </is>
      </c>
      <c r="AU13" s="6" t="n">
        <v>1</v>
      </c>
      <c r="AV13" s="5" t="inlineStr">
        <is>
          <t>G0020</t>
        </is>
      </c>
      <c r="AW13" s="5" t="inlineStr"/>
      <c r="AX13" s="10" t="inlineStr">
        <is>
          <t>View listing</t>
        </is>
      </c>
      <c r="AY13" s="5" t="inlineStr">
        <is>
          <t>—</t>
        </is>
      </c>
      <c r="AZ13" s="10" t="inlineStr">
        <is>
          <t>Open map</t>
        </is>
      </c>
      <c r="BA13" s="5" t="inlineStr">
        <is>
          <t>LISTING / EXACT</t>
        </is>
      </c>
      <c r="BB13" s="5" t="inlineStr">
        <is>
          <t>PROGRAMMATIC_PASS</t>
        </is>
      </c>
      <c r="BC13" s="5" t="inlineStr"/>
    </row>
  </sheetData>
  <autoFilter ref="A4:BC13"/>
  <conditionalFormatting sqref="A5:BC13">
    <cfRule type="cellIs" priority="1" operator="equal" dxfId="0">
      <formula>"UNKNOWN"</formula>
    </cfRule>
    <cfRule type="expression" priority="8" dxfId="2">
      <formula>MOD(ROW(),2)=0</formula>
    </cfRule>
  </conditionalFormatting>
  <conditionalFormatting sqref="AC5:AC13">
    <cfRule type="expression" priority="2" dxfId="3" stopIfTrue="1">
      <formula>LEFT(AC5,3)="LOW"</formula>
    </cfRule>
    <cfRule type="expression" priority="3" dxfId="4" stopIfTrue="1">
      <formula>LEFT(AC5,6)="MEDIUM"</formula>
    </cfRule>
    <cfRule type="expression" priority="4" dxfId="5" stopIfTrue="1">
      <formula>LEFT(AC5,4)="HIGH"</formula>
    </cfRule>
  </conditionalFormatting>
  <conditionalFormatting sqref="L5:L13">
    <cfRule type="cellIs" priority="5" operator="greaterThan" dxfId="6" stopIfTrue="1">
      <formula>1000</formula>
    </cfRule>
  </conditionalFormatting>
  <conditionalFormatting sqref="F5:F13">
    <cfRule type="cellIs" priority="6" operator="greaterThan" dxfId="6" stopIfTrue="1">
      <formula>1000</formula>
    </cfRule>
  </conditionalFormatting>
  <conditionalFormatting sqref="B5:B13">
    <cfRule type="cellIs" priority="7" operator="greaterThanOrEqual" dxfId="7">
      <formula>75</formula>
    </cfRule>
  </conditionalFormatting>
  <hyperlinks>
    <hyperlink xmlns:r="http://schemas.openxmlformats.org/officeDocument/2006/relationships" ref="AX5" r:id="rId1"/>
    <hyperlink xmlns:r="http://schemas.openxmlformats.org/officeDocument/2006/relationships" ref="AZ5" r:id="rId2"/>
    <hyperlink xmlns:r="http://schemas.openxmlformats.org/officeDocument/2006/relationships" ref="AX6" r:id="rId3"/>
    <hyperlink xmlns:r="http://schemas.openxmlformats.org/officeDocument/2006/relationships" ref="AZ6" r:id="rId4"/>
    <hyperlink xmlns:r="http://schemas.openxmlformats.org/officeDocument/2006/relationships" ref="AX7" r:id="rId5"/>
    <hyperlink xmlns:r="http://schemas.openxmlformats.org/officeDocument/2006/relationships" ref="AZ7" r:id="rId6"/>
    <hyperlink xmlns:r="http://schemas.openxmlformats.org/officeDocument/2006/relationships" ref="AX8" r:id="rId7"/>
    <hyperlink xmlns:r="http://schemas.openxmlformats.org/officeDocument/2006/relationships" ref="AZ8" r:id="rId8"/>
    <hyperlink xmlns:r="http://schemas.openxmlformats.org/officeDocument/2006/relationships" ref="AX9" r:id="rId9"/>
    <hyperlink xmlns:r="http://schemas.openxmlformats.org/officeDocument/2006/relationships" ref="AZ9" r:id="rId10"/>
    <hyperlink xmlns:r="http://schemas.openxmlformats.org/officeDocument/2006/relationships" ref="AX10" r:id="rId11"/>
    <hyperlink xmlns:r="http://schemas.openxmlformats.org/officeDocument/2006/relationships" ref="AZ10" r:id="rId12"/>
    <hyperlink xmlns:r="http://schemas.openxmlformats.org/officeDocument/2006/relationships" ref="AX11" r:id="rId13"/>
    <hyperlink xmlns:r="http://schemas.openxmlformats.org/officeDocument/2006/relationships" ref="AZ11" r:id="rId14"/>
    <hyperlink xmlns:r="http://schemas.openxmlformats.org/officeDocument/2006/relationships" ref="AX12" r:id="rId15"/>
    <hyperlink xmlns:r="http://schemas.openxmlformats.org/officeDocument/2006/relationships" ref="AZ12" r:id="rId16"/>
    <hyperlink xmlns:r="http://schemas.openxmlformats.org/officeDocument/2006/relationships" ref="AX13" r:id="rId17"/>
    <hyperlink xmlns:r="http://schemas.openxmlformats.org/officeDocument/2006/relationships" ref="AZ13" r:id="rId18"/>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C5"/>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8" customWidth="1" min="13" max="13"/>
    <col width="8" customWidth="1" min="14" max="14"/>
    <col width="8" customWidth="1" min="15" max="15"/>
    <col width="8" customWidth="1" min="16" max="16"/>
    <col width="12" customWidth="1" min="17" max="17"/>
    <col width="8" customWidth="1" min="18" max="18"/>
    <col width="18" customWidth="1" min="19" max="19"/>
    <col width="10" customWidth="1" min="20" max="20"/>
    <col width="9" customWidth="1" min="21" max="21"/>
    <col width="7" customWidth="1" min="22" max="22"/>
    <col width="9" customWidth="1" min="23" max="23"/>
    <col width="8" customWidth="1" min="24" max="24"/>
    <col width="8" customWidth="1" min="25" max="25"/>
    <col width="8" customWidth="1" min="26" max="26"/>
    <col width="7" customWidth="1" min="27" max="27"/>
    <col width="8" customWidth="1" min="28" max="28"/>
    <col width="14" customWidth="1" min="29" max="29"/>
    <col width="9" customWidth="1" min="30" max="30"/>
    <col width="50" customWidth="1" min="31" max="31"/>
    <col width="10" customWidth="1" min="32" max="32"/>
    <col width="10" customWidth="1" min="33" max="33"/>
    <col width="8" customWidth="1" min="34" max="34"/>
    <col width="30" customWidth="1" min="35" max="35"/>
    <col width="12" customWidth="1" min="36" max="36"/>
    <col width="14" customWidth="1" min="37" max="37"/>
    <col width="14" customWidth="1" min="38" max="38"/>
    <col width="11" customWidth="1" min="39" max="39"/>
    <col width="14" customWidth="1" min="40" max="40"/>
    <col width="40" customWidth="1" min="41" max="41"/>
    <col width="36" customWidth="1" min="42" max="42"/>
    <col width="40" customWidth="1" min="43" max="43"/>
    <col width="20" customWidth="1" min="44" max="44"/>
    <col width="14" customWidth="1" min="45" max="45"/>
    <col width="14" customWidth="1" min="46" max="46"/>
    <col width="7" customWidth="1" min="47" max="47"/>
    <col width="9" customWidth="1" min="48" max="48"/>
    <col width="24" customWidth="1" min="49" max="49"/>
    <col width="12" customWidth="1" min="50" max="50"/>
    <col width="14" customWidth="1" min="51" max="51"/>
    <col width="10" customWidth="1" min="52" max="52"/>
    <col width="16" customWidth="1" min="53" max="53"/>
    <col width="18" customWidth="1" min="54" max="54"/>
    <col width="30" customWidth="1" min="55" max="55"/>
  </cols>
  <sheetData>
    <row r="1">
      <c r="A1" s="1" t="inlineStr">
        <is>
          <t>Near misses — just outside Miraflores, exceptionally strong</t>
        </is>
      </c>
    </row>
    <row r="2">
      <c r="A2" s="2" t="inlineStr">
        <is>
          <t>Generated 2026-09-24T17:45:37-05:00 · FX 1 USD = S/ 3.385 (fallback)</t>
        </is>
      </c>
    </row>
    <row r="3">
      <c r="A3" s="3" t="inlineStr">
        <is>
          <t>SYNTHETIC DEMO DATA — FORMAT PREVIEW ONLY — THESE ARE NOT REAL LISTINGS</t>
        </is>
      </c>
    </row>
    <row r="4" ht="30" customHeight="1">
      <c r="A4" s="4" t="inlineStr">
        <is>
          <t>Rank</t>
        </is>
      </c>
      <c r="B4" s="4" t="inlineStr">
        <is>
          <t>Fit Score</t>
        </is>
      </c>
      <c r="C4" s="4" t="inlineStr">
        <is>
          <t>Property</t>
        </is>
      </c>
      <c r="D4" s="4" t="inlineStr">
        <is>
          <t>Category</t>
        </is>
      </c>
      <c r="E4" s="4" t="inlineStr">
        <is>
          <t>Why in this sheet</t>
        </is>
      </c>
      <c r="F4" s="4" t="inlineStr">
        <is>
          <t>Monthly Rent USD</t>
        </is>
      </c>
      <c r="G4" s="4" t="inlineStr">
        <is>
          <t>Rent as published</t>
        </is>
      </c>
      <c r="H4" s="4" t="inlineStr">
        <is>
          <t>Rent USD basis</t>
        </is>
      </c>
      <c r="I4" s="4" t="inlineStr">
        <is>
          <t>Rent PEN</t>
        </is>
      </c>
      <c r="J4" s="4" t="inlineStr">
        <is>
          <t>Maintenance</t>
        </is>
      </c>
      <c r="K4" s="4" t="inlineStr">
        <is>
          <t>Maintenance basis</t>
        </is>
      </c>
      <c r="L4" s="4" t="inlineStr">
        <is>
          <t>Estimated Total USD</t>
        </is>
      </c>
      <c r="M4" s="4" t="inlineStr">
        <is>
          <t>Bedrooms</t>
        </is>
      </c>
      <c r="N4" s="4" t="inlineStr">
        <is>
          <t>Bathrooms</t>
        </is>
      </c>
      <c r="O4" s="4" t="inlineStr">
        <is>
          <t>Area m²</t>
        </is>
      </c>
      <c r="P4" s="4" t="inlineStr">
        <is>
          <t>Area basis</t>
        </is>
      </c>
      <c r="Q4" s="4" t="inlineStr">
        <is>
          <t>Space band</t>
        </is>
      </c>
      <c r="R4" s="4" t="inlineStr">
        <is>
          <t>USD/m²</t>
        </is>
      </c>
      <c r="S4" s="4" t="inlineStr">
        <is>
          <t>Value band</t>
        </is>
      </c>
      <c r="T4" s="4" t="inlineStr">
        <is>
          <t>Furnished</t>
        </is>
      </c>
      <c r="U4" s="4" t="inlineStr">
        <is>
          <t>Parking</t>
        </is>
      </c>
      <c r="V4" s="4" t="inlineStr">
        <is>
          <t>Floor</t>
        </is>
      </c>
      <c r="W4" s="4" t="inlineStr">
        <is>
          <t>Balcony/Terrace</t>
        </is>
      </c>
      <c r="X4" s="4" t="inlineStr">
        <is>
          <t>Laundry</t>
        </is>
      </c>
      <c r="Y4" s="4" t="inlineStr">
        <is>
          <t>Elevator</t>
        </is>
      </c>
      <c r="Z4" s="4" t="inlineStr">
        <is>
          <t>Security</t>
        </is>
      </c>
      <c r="AA4" s="4" t="inlineStr">
        <is>
          <t>Pets</t>
        </is>
      </c>
      <c r="AB4" s="4" t="inlineStr">
        <is>
          <t>Interior view</t>
        </is>
      </c>
      <c r="AC4" s="4" t="inlineStr">
        <is>
          <t>Noise Risk</t>
        </is>
      </c>
      <c r="AD4" s="4" t="inlineStr">
        <is>
          <t>Quietness Score</t>
        </is>
      </c>
      <c r="AE4" s="4" t="inlineStr">
        <is>
          <t>Quietness evidence</t>
        </is>
      </c>
      <c r="AF4" s="4" t="inlineStr">
        <is>
          <t>Nearest major road (m)</t>
        </is>
      </c>
      <c r="AG4" s="4" t="inlineStr">
        <is>
          <t>Nearest nightclub (m)</t>
        </is>
      </c>
      <c r="AH4" s="4" t="inlineStr">
        <is>
          <t>Bars ≤150 m</t>
        </is>
      </c>
      <c r="AI4" s="4" t="inlineStr">
        <is>
          <t>Daily needs nearby</t>
        </is>
      </c>
      <c r="AJ4" s="4" t="inlineStr">
        <is>
          <t>Contract</t>
        </is>
      </c>
      <c r="AK4" s="4" t="inlineStr">
        <is>
          <t>Deposit</t>
        </is>
      </c>
      <c r="AL4" s="4" t="inlineStr">
        <is>
          <t>Utilities included</t>
        </is>
      </c>
      <c r="AM4" s="4" t="inlineStr">
        <is>
          <t>Published</t>
        </is>
      </c>
      <c r="AN4" s="4" t="inlineStr">
        <is>
          <t>Active status</t>
        </is>
      </c>
      <c r="AO4" s="4" t="inlineStr">
        <is>
          <t>Main Advantage</t>
        </is>
      </c>
      <c r="AP4" s="4" t="inlineStr">
        <is>
          <t>Main Drawback</t>
        </is>
      </c>
      <c r="AQ4" s="4" t="inlineStr">
        <is>
          <t>Red flags</t>
        </is>
      </c>
      <c r="AR4" s="4" t="inlineStr">
        <is>
          <t>Agency / agent</t>
        </is>
      </c>
      <c r="AS4" s="4" t="inlineStr">
        <is>
          <t>Phone</t>
        </is>
      </c>
      <c r="AT4" s="4" t="inlineStr">
        <is>
          <t>Source</t>
        </is>
      </c>
      <c r="AU4" s="4" t="inlineStr">
        <is>
          <t># Sources</t>
        </is>
      </c>
      <c r="AV4" s="4" t="inlineStr">
        <is>
          <t>Duplicate group</t>
        </is>
      </c>
      <c r="AW4" s="4" t="inlineStr">
        <is>
          <t>Duplicate conflicts</t>
        </is>
      </c>
      <c r="AX4" s="4" t="inlineStr">
        <is>
          <t>View Listing</t>
        </is>
      </c>
      <c r="AY4" s="4" t="inlineStr">
        <is>
          <t>WhatsApp</t>
        </is>
      </c>
      <c r="AZ4" s="4" t="inlineStr">
        <is>
          <t>Map</t>
        </is>
      </c>
      <c r="BA4" s="4" t="inlineStr">
        <is>
          <t>Location source</t>
        </is>
      </c>
      <c r="BB4" s="4" t="inlineStr">
        <is>
          <t>QA Status</t>
        </is>
      </c>
      <c r="BC4" s="4" t="inlineStr">
        <is>
          <t>QA notes</t>
        </is>
      </c>
    </row>
    <row r="5">
      <c r="A5" s="6" t="n">
        <v>1</v>
      </c>
      <c r="B5" s="7" t="n">
        <v>74.5</v>
      </c>
      <c r="C5" s="8" t="inlineStr">
        <is>
          <t>2BR · 88 m² — Calle Borde 905 (DEMO)</t>
        </is>
      </c>
      <c r="D5" s="5" t="inlineStr">
        <is>
          <t>NEAR_MISS</t>
        </is>
      </c>
      <c r="E5" s="8" t="inlineStr">
        <is>
          <t>outside Miraflores (163 m beyond the boundary)</t>
        </is>
      </c>
      <c r="F5" s="9" t="n">
        <v>880</v>
      </c>
      <c r="G5" s="5" t="inlineStr">
        <is>
          <t>USD 880</t>
        </is>
      </c>
      <c r="H5" s="5" t="inlineStr">
        <is>
          <t>PUBLISHED</t>
        </is>
      </c>
      <c r="I5" s="11" t="n">
        <v>2978.8</v>
      </c>
      <c r="J5" s="5" t="inlineStr">
        <is>
          <t>S/ 420 (≈ USD 124)</t>
        </is>
      </c>
      <c r="K5" s="5" t="inlineStr">
        <is>
          <t>PUBLISHED</t>
        </is>
      </c>
      <c r="L5" s="9" t="n">
        <v>1004.08</v>
      </c>
      <c r="M5" s="6" t="n">
        <v>2</v>
      </c>
      <c r="N5" s="12" t="n">
        <v>1.5</v>
      </c>
      <c r="O5" s="6" t="n">
        <v>88</v>
      </c>
      <c r="P5" s="5" t="inlineStr">
        <is>
          <t>built</t>
        </is>
      </c>
      <c r="Q5" s="5" t="inlineStr">
        <is>
          <t>VERY_SPACIOUS</t>
        </is>
      </c>
      <c r="R5" s="7" t="n">
        <v>10</v>
      </c>
      <c r="S5" s="5" t="inlineStr">
        <is>
          <t>INSUFFICIENT_DATA</t>
        </is>
      </c>
      <c r="T5" s="5" t="inlineStr">
        <is>
          <t>Yes</t>
        </is>
      </c>
      <c r="U5" s="5" t="inlineStr">
        <is>
          <t>UNKNOWN</t>
        </is>
      </c>
      <c r="V5" s="5" t="inlineStr">
        <is>
          <t>UNKNOWN</t>
        </is>
      </c>
      <c r="W5" s="5" t="inlineStr">
        <is>
          <t>UNKNOWN</t>
        </is>
      </c>
      <c r="X5" s="5" t="inlineStr">
        <is>
          <t>Yes</t>
        </is>
      </c>
      <c r="Y5" s="5" t="inlineStr">
        <is>
          <t>Yes</t>
        </is>
      </c>
      <c r="Z5" s="5" t="inlineStr">
        <is>
          <t>Yes</t>
        </is>
      </c>
      <c r="AA5" s="5" t="inlineStr">
        <is>
          <t>UNKNOWN</t>
        </is>
      </c>
      <c r="AB5" s="5" t="inlineStr">
        <is>
          <t>Yes</t>
        </is>
      </c>
      <c r="AC5" s="5" t="inlineStr">
        <is>
          <t>LOW · conf. low</t>
        </is>
      </c>
      <c r="AD5" s="6" t="n">
        <v>94</v>
      </c>
      <c r="AE5" s="8" t="inlineStr">
        <is>
          <t>Nearest major road (Vía Demo Expresa (DEMO)) 1197 m away; no nightclub mapped within 500 m; listing says interior-facing / contrafrente; acoustic / double-glazed windows mentioned; portal location is approximate. Quietness estimate: low confidence.</t>
        </is>
      </c>
      <c r="AF5" s="6" t="n">
        <v>1197</v>
      </c>
      <c r="AG5" s="6" t="n">
        <v>2496</v>
      </c>
      <c r="AH5" s="6" t="n">
        <v>0</v>
      </c>
      <c r="AI5" s="5" t="inlineStr">
        <is>
          <t>UNKNOWN</t>
        </is>
      </c>
      <c r="AJ5" s="5" t="inlineStr">
        <is>
          <t>UNKNOWN</t>
        </is>
      </c>
      <c r="AK5" s="5" t="inlineStr">
        <is>
          <t>UNKNOWN</t>
        </is>
      </c>
      <c r="AL5" s="5" t="inlineStr">
        <is>
          <t>UNKNOWN</t>
        </is>
      </c>
      <c r="AM5" s="5" t="inlineStr">
        <is>
          <t>2026-09-03</t>
        </is>
      </c>
      <c r="AN5" s="5" t="inlineStr">
        <is>
          <t>LIKELY_ACTIVE</t>
        </is>
      </c>
      <c r="AO5" s="8" t="inlineStr">
        <is>
          <t>88 m² built area — very spacious for a 2-bedroom; interior-facing; acoustic/double-glazed windows</t>
        </is>
      </c>
      <c r="AP5" s="8" t="inlineStr">
        <is>
          <t>rent + maintenance ≈ USD 1,004 (USD 880 rent + S/ 420 maintenance) exceeds USD 1,000</t>
        </is>
      </c>
      <c r="AQ5" s="8" t="inlineStr">
        <is>
          <t>APPROXIMATE_LOCATION; AREA_INCONSISTENT; TOTAL_COST_OVER_BUDGET</t>
        </is>
      </c>
      <c r="AR5" s="8" t="inlineStr">
        <is>
          <t>DEMO Inmobiliaria C</t>
        </is>
      </c>
      <c r="AS5" s="5" t="inlineStr">
        <is>
          <t>+5110009005</t>
        </is>
      </c>
      <c r="AT5" s="5" t="inlineStr">
        <is>
          <t>Urbania</t>
        </is>
      </c>
      <c r="AU5" s="6" t="n">
        <v>1</v>
      </c>
      <c r="AV5" s="5" t="inlineStr">
        <is>
          <t>G0039</t>
        </is>
      </c>
      <c r="AW5" s="5" t="inlineStr"/>
      <c r="AX5" s="10" t="inlineStr">
        <is>
          <t>View listing</t>
        </is>
      </c>
      <c r="AY5" s="5" t="inlineStr">
        <is>
          <t>—</t>
        </is>
      </c>
      <c r="AZ5" s="10" t="inlineStr">
        <is>
          <t>Open map</t>
        </is>
      </c>
      <c r="BA5" s="8" t="inlineStr">
        <is>
          <t>LISTING / APPROXIMATE</t>
        </is>
      </c>
      <c r="BB5" s="5" t="inlineStr">
        <is>
          <t>PROGRAMMATIC_PASS</t>
        </is>
      </c>
      <c r="BC5" s="5" t="inlineStr"/>
    </row>
  </sheetData>
  <autoFilter ref="A4:BC5"/>
  <conditionalFormatting sqref="A5:BC5">
    <cfRule type="cellIs" priority="1" operator="equal" dxfId="0">
      <formula>"UNKNOWN"</formula>
    </cfRule>
    <cfRule type="expression" priority="8" dxfId="2">
      <formula>MOD(ROW(),2)=0</formula>
    </cfRule>
  </conditionalFormatting>
  <conditionalFormatting sqref="AC5">
    <cfRule type="expression" priority="2" dxfId="3" stopIfTrue="1">
      <formula>LEFT(AC5,3)="LOW"</formula>
    </cfRule>
    <cfRule type="expression" priority="3" dxfId="4" stopIfTrue="1">
      <formula>LEFT(AC5,6)="MEDIUM"</formula>
    </cfRule>
    <cfRule type="expression" priority="4" dxfId="5" stopIfTrue="1">
      <formula>LEFT(AC5,4)="HIGH"</formula>
    </cfRule>
  </conditionalFormatting>
  <conditionalFormatting sqref="L5">
    <cfRule type="cellIs" priority="5" operator="greaterThan" dxfId="6" stopIfTrue="1">
      <formula>1000</formula>
    </cfRule>
  </conditionalFormatting>
  <conditionalFormatting sqref="F5">
    <cfRule type="cellIs" priority="6" operator="greaterThan" dxfId="6" stopIfTrue="1">
      <formula>1000</formula>
    </cfRule>
  </conditionalFormatting>
  <conditionalFormatting sqref="B5">
    <cfRule type="cellIs" priority="7" operator="greaterThanOrEqual" dxfId="7">
      <formula>75</formula>
    </cfRule>
  </conditionalFormatting>
  <hyperlinks>
    <hyperlink xmlns:r="http://schemas.openxmlformats.org/officeDocument/2006/relationships" ref="AX5" r:id="rId1"/>
    <hyperlink xmlns:r="http://schemas.openxmlformats.org/officeDocument/2006/relationships" ref="AZ5"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6"/>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26" customWidth="1" min="3" max="3"/>
    <col width="40" customWidth="1" min="4" max="4"/>
    <col width="10" customWidth="1" min="5" max="5"/>
    <col width="18"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60" customWidth="1" min="14" max="14"/>
  </cols>
  <sheetData>
    <row r="1">
      <c r="A1" s="1" t="inlineStr">
        <is>
          <t>Source audit</t>
        </is>
      </c>
    </row>
    <row r="2">
      <c r="A2" s="2" t="inlineStr">
        <is>
          <t>Generated 2026-09-24T17:45:37-05:00 · FX 1 USD = S/ 3.385 (fallback)</t>
        </is>
      </c>
    </row>
    <row r="3">
      <c r="A3" s="3" t="inlineStr">
        <is>
          <t>SYNTHETIC DEMO DATA — FORMAT PREVIEW ONLY — THESE ARE NOT REAL LISTINGS</t>
        </is>
      </c>
    </row>
    <row r="4" ht="30" customHeight="1">
      <c r="A4" s="4" t="inlineStr">
        <is>
          <t>Source</t>
        </is>
      </c>
      <c r="B4" s="4" t="inlineStr">
        <is>
          <t>Status</t>
        </is>
      </c>
      <c r="C4" s="4" t="inlineStr">
        <is>
          <t>Method</t>
        </is>
      </c>
      <c r="D4" s="4" t="inlineStr">
        <is>
          <t>Target search URL</t>
        </is>
      </c>
      <c r="E4" s="4" t="inlineStr">
        <is>
          <t>Records collected</t>
        </is>
      </c>
      <c r="F4" s="4" t="inlineStr">
        <is>
          <t>Public access</t>
        </is>
      </c>
      <c r="G4" s="4" t="inlineStr">
        <is>
          <t>Pagination</t>
        </is>
      </c>
      <c r="H4" s="4" t="inlineStr">
        <is>
          <t>Detail pages</t>
        </is>
      </c>
      <c r="I4" s="4" t="inlineStr">
        <is>
          <t>Contact data</t>
        </is>
      </c>
      <c r="J4" s="4" t="inlineStr">
        <is>
          <t>Coordinates</t>
        </is>
      </c>
      <c r="K4" s="4" t="inlineStr">
        <is>
          <t>Publication date</t>
        </is>
      </c>
      <c r="L4" s="4" t="inlineStr">
        <is>
          <t>Maintenance fee</t>
        </is>
      </c>
      <c r="M4" s="4" t="inlineStr">
        <is>
          <t>Completeness</t>
        </is>
      </c>
      <c r="N4" s="4" t="inlineStr">
        <is>
          <t>Limitations / errors</t>
        </is>
      </c>
    </row>
    <row r="5">
      <c r="A5" s="5" t="inlineStr">
        <is>
          <t>Urbania</t>
        </is>
      </c>
      <c r="B5" s="5" t="inlineStr">
        <is>
          <t>NOT RUN</t>
        </is>
      </c>
      <c r="C5" s="8" t="inlineStr">
        <is>
          <t>Apify actor scrapers_lat/urbania-scraper (primary); single polite direct fetch that stops at any bot challenge (fallback without token)</t>
        </is>
      </c>
      <c r="D5" s="8" t="inlineStr">
        <is>
          <t>https://urbania.pe/buscar/alquiler-de-departamentos-en-miraflores--lima--lima</t>
        </is>
      </c>
      <c r="E5" s="5" t="n">
        <v>0</v>
      </c>
      <c r="F5" s="8" t="inlineStr">
        <is>
          <t>Public search and detail pages, no login</t>
        </is>
      </c>
      <c r="G5" s="8" t="inlineStr">
        <is>
          <t>Handled by actor (direct: ?page=N)</t>
        </is>
      </c>
      <c r="H5" s="8" t="inlineStr">
        <is>
          <t>Expected via actor (docs: 'all fields exposed by listing and detail pages')</t>
        </is>
      </c>
      <c r="I5" s="8" t="inlineStr">
        <is>
          <t>Expected: phone / WhatsApp (actor docs)</t>
        </is>
      </c>
      <c r="J5" s="8" t="inlineStr">
        <is>
          <t>Expected (Navent geolocation; may be approximate)</t>
        </is>
      </c>
      <c r="K5" s="8" t="inlineStr">
        <is>
          <t>Expected (relative 'Publicado hace…')</t>
        </is>
      </c>
      <c r="L5" s="8" t="inlineStr">
        <is>
          <t>Expected when advertiser publishes 'Mantenimiento'</t>
        </is>
      </c>
      <c r="M5" s="8" t="inlineStr">
        <is>
          <t>not measured (no records)</t>
        </is>
      </c>
      <c r="N5" s="8" t="inlineStr">
        <is>
          <t>not run | Navent platform uses bot protection; direct scraping not attempted beyond one polite request. Actor input names partly undocumented — unknown inputs are dropped and filters re-applied after extraction.</t>
        </is>
      </c>
    </row>
    <row r="6">
      <c r="A6" s="5" t="inlineStr">
        <is>
          <t>Adondevivir</t>
        </is>
      </c>
      <c r="B6" s="5" t="inlineStr">
        <is>
          <t>NOT RUN</t>
        </is>
      </c>
      <c r="C6" s="8" t="inlineStr">
        <is>
          <t>Apify actor scrapers_lat/adondevivir-scraper (primary); polite direct fallback</t>
        </is>
      </c>
      <c r="D6" s="8" t="inlineStr">
        <is>
          <t>https://www.adondevivir.com/departamentos-en-alquiler-en-miraflores.html</t>
        </is>
      </c>
      <c r="E6" s="5" t="n">
        <v>0</v>
      </c>
      <c r="F6" s="8" t="inlineStr">
        <is>
          <t>Public search and detail pages, no login</t>
        </is>
      </c>
      <c r="G6" s="8" t="inlineStr">
        <is>
          <t>Handled by actor (direct: -pagina-N.html)</t>
        </is>
      </c>
      <c r="H6" s="5" t="inlineStr">
        <is>
          <t>Expected via actor</t>
        </is>
      </c>
      <c r="I6" s="8" t="inlineStr">
        <is>
          <t>Expected: agent phone and WhatsApp (actor docs)</t>
        </is>
      </c>
      <c r="J6" s="8" t="inlineStr">
        <is>
          <t>Expected (same Navent backend as Urbania)</t>
        </is>
      </c>
      <c r="K6" s="8" t="inlineStr">
        <is>
          <t>Expected (relative)</t>
        </is>
      </c>
      <c r="L6" s="8" t="inlineStr">
        <is>
          <t>Expected when published</t>
        </is>
      </c>
      <c r="M6" s="8" t="inlineStr">
        <is>
          <t>not measured (no records)</t>
        </is>
      </c>
      <c r="N6" s="8" t="inlineStr">
        <is>
          <t>not run | Actor docs: free-tier runs capped at 10 listings. Same backend as Urbania, so many listings are cross-posted — handled by de-duplication (shared posting ids).</t>
        </is>
      </c>
    </row>
    <row r="7">
      <c r="A7" s="8" t="inlineStr">
        <is>
          <t>Mercado Libre Inmuebles Perú</t>
        </is>
      </c>
      <c r="B7" s="5" t="inlineStr">
        <is>
          <t>NOT RUN</t>
        </is>
      </c>
      <c r="C7" s="8" t="inlineStr">
        <is>
          <t>Direct HTML (own parser, robots.txt respected, ≥2.5 s between requests). Reference repo GadielRP/mercadolibre-real-estate-scraper audited and NOT reused.</t>
        </is>
      </c>
      <c r="D7" s="8" t="inlineStr">
        <is>
          <t>https://inmuebles.mercadolibre.com.pe/departamentos/alquiler/lima/miraflores/</t>
        </is>
      </c>
      <c r="E7" s="5" t="n">
        <v>0</v>
      </c>
      <c r="F7" s="8" t="inlineStr">
        <is>
          <t>Public search and detail pages; phone numbers require login (not collected)</t>
        </is>
      </c>
      <c r="G7" s="8" t="inlineStr">
        <is>
          <t>_Desde_N offsets (48/page)</t>
        </is>
      </c>
      <c r="H7" s="8" t="inlineStr">
        <is>
          <t>Yes — specs table, description, map centre</t>
        </is>
      </c>
      <c r="I7" s="8" t="inlineStr">
        <is>
          <t>Seller name only; contact through Mercado Libre</t>
        </is>
      </c>
      <c r="J7" s="8" t="inlineStr">
        <is>
          <t>Sometimes (map on detail page)</t>
        </is>
      </c>
      <c r="K7" s="8" t="inlineStr">
        <is>
          <t>Relative 'Publicado hace…' on detail page</t>
        </is>
      </c>
      <c r="L7" s="8" t="inlineStr">
        <is>
          <t>Sometimes (spec 'Mantenimiento' / 'Gastos comunes')</t>
        </is>
      </c>
      <c r="M7" s="8" t="inlineStr">
        <is>
          <t>not measured (no records)</t>
        </is>
      </c>
      <c r="N7" s="8" t="inlineStr">
        <is>
          <t>not run | Page layout changes periodically; parser supports current poly-card and legacy layouts. Reference repo rejected: no licence ('Private'), targets Mexico (MLM), relies on webdriver masking, UA rotation and residential proxy rotation.</t>
        </is>
      </c>
    </row>
    <row r="8">
      <c r="A8" s="8" t="inlineStr">
        <is>
          <t>Manual import (agency sites, other portals)</t>
        </is>
      </c>
      <c r="B8" s="5" t="inlineStr">
        <is>
          <t>NOT RUN</t>
        </is>
      </c>
      <c r="C8" s="8" t="inlineStr">
        <is>
          <t>CSV/JSON import (config/manual_import_template.csv)</t>
        </is>
      </c>
      <c r="D8" s="5" t="inlineStr">
        <is>
          <t>n/a</t>
        </is>
      </c>
      <c r="E8" s="5" t="n">
        <v>0</v>
      </c>
      <c r="F8" s="5" t="inlineStr">
        <is>
          <t>n/a</t>
        </is>
      </c>
      <c r="G8" s="5" t="inlineStr">
        <is>
          <t>n/a</t>
        </is>
      </c>
      <c r="H8" s="5" t="inlineStr">
        <is>
          <t>n/a</t>
        </is>
      </c>
      <c r="I8" s="5" t="inlineStr">
        <is>
          <t>as entered</t>
        </is>
      </c>
      <c r="J8" s="5" t="inlineStr">
        <is>
          <t>as entered</t>
        </is>
      </c>
      <c r="K8" s="5" t="inlineStr">
        <is>
          <t>as entered</t>
        </is>
      </c>
      <c r="L8" s="5" t="inlineStr">
        <is>
          <t>as entered</t>
        </is>
      </c>
      <c r="M8" s="8" t="inlineStr">
        <is>
          <t>not measured (no records)</t>
        </is>
      </c>
      <c r="N8" s="8" t="inlineStr">
        <is>
          <t>not run | Only as good as the manual capture; active status UNKNOWN unless re-checked.</t>
        </is>
      </c>
    </row>
    <row r="9">
      <c r="A9" s="5" t="inlineStr">
        <is>
          <t>Properati Perú</t>
        </is>
      </c>
      <c r="B9" s="8" t="inlineStr">
        <is>
          <t>PENDING (not automated this iteration)</t>
        </is>
      </c>
      <c r="C9" s="8" t="inlineStr">
        <is>
          <t>not automated — use manual import</t>
        </is>
      </c>
      <c r="D9" s="8" t="inlineStr">
        <is>
          <t>https://www.properati.com.pe/s/miraflores/departamento/alquiler</t>
        </is>
      </c>
      <c r="E9" s="5" t="n">
        <v>0</v>
      </c>
      <c r="F9" s="8" t="inlineStr">
        <is>
          <t>public (search index)</t>
        </is>
      </c>
      <c r="G9" s="5" t="inlineStr">
        <is>
          <t>not tested</t>
        </is>
      </c>
      <c r="H9" s="5" t="inlineStr">
        <is>
          <t>not tested</t>
        </is>
      </c>
      <c r="I9" s="5" t="inlineStr">
        <is>
          <t>not tested</t>
        </is>
      </c>
      <c r="J9" s="5" t="inlineStr">
        <is>
          <t>not tested</t>
        </is>
      </c>
      <c r="K9" s="5" t="inlineStr">
        <is>
          <t>not tested</t>
        </is>
      </c>
      <c r="L9" s="5" t="inlineStr">
        <is>
          <t>not tested</t>
        </is>
      </c>
      <c r="M9" s="5" t="inlineStr">
        <is>
          <t>not measured</t>
        </is>
      </c>
      <c r="N9" s="8" t="inlineStr">
        <is>
          <t>Search index: 294 Miraflores rentals; 75 furnished; 137 with 2 bedrooms | could not be opened from this environment (egress policy); verify before relying on it</t>
        </is>
      </c>
    </row>
    <row r="10">
      <c r="A10" s="5" t="inlineStr">
        <is>
          <t>FazWaz Perú</t>
        </is>
      </c>
      <c r="B10" s="8" t="inlineStr">
        <is>
          <t>PENDING (not automated this iteration)</t>
        </is>
      </c>
      <c r="C10" s="8" t="inlineStr">
        <is>
          <t>not automated — use manual import</t>
        </is>
      </c>
      <c r="D10" s="8" t="inlineStr">
        <is>
          <t>https://www.fazwaz.com.pe/departamento-en-alquiler/peru/lima/lima/miraflores</t>
        </is>
      </c>
      <c r="E10" s="5" t="n">
        <v>0</v>
      </c>
      <c r="F10" s="8" t="inlineStr">
        <is>
          <t>public (search index)</t>
        </is>
      </c>
      <c r="G10" s="5" t="inlineStr">
        <is>
          <t>not tested</t>
        </is>
      </c>
      <c r="H10" s="5" t="inlineStr">
        <is>
          <t>not tested</t>
        </is>
      </c>
      <c r="I10" s="5" t="inlineStr">
        <is>
          <t>not tested</t>
        </is>
      </c>
      <c r="J10" s="5" t="inlineStr">
        <is>
          <t>not tested</t>
        </is>
      </c>
      <c r="K10" s="5" t="inlineStr">
        <is>
          <t>not tested</t>
        </is>
      </c>
      <c r="L10" s="5" t="inlineStr">
        <is>
          <t>not tested</t>
        </is>
      </c>
      <c r="M10" s="5" t="inlineStr">
        <is>
          <t>not measured</t>
        </is>
      </c>
      <c r="N10" s="8" t="inlineStr">
        <is>
          <t>Search index: 437 rental listings in Miraflores; English-friendly (relevant for foreign tenants) | could not be opened from this environment (egress policy); verify before relying on it</t>
        </is>
      </c>
    </row>
    <row r="11">
      <c r="A11" s="5" t="inlineStr">
        <is>
          <t>Ubicasa</t>
        </is>
      </c>
      <c r="B11" s="8" t="inlineStr">
        <is>
          <t>PENDING (not automated this iteration)</t>
        </is>
      </c>
      <c r="C11" s="8" t="inlineStr">
        <is>
          <t>not automated — use manual import</t>
        </is>
      </c>
      <c r="D11" s="8" t="inlineStr">
        <is>
          <t>https://ubicasa.pe/alquiler/departamento/miraflores-lima-lima</t>
        </is>
      </c>
      <c r="E11" s="5" t="n">
        <v>0</v>
      </c>
      <c r="F11" s="8" t="inlineStr">
        <is>
          <t>public (search index)</t>
        </is>
      </c>
      <c r="G11" s="5" t="inlineStr">
        <is>
          <t>not tested</t>
        </is>
      </c>
      <c r="H11" s="5" t="inlineStr">
        <is>
          <t>not tested</t>
        </is>
      </c>
      <c r="I11" s="5" t="inlineStr">
        <is>
          <t>not tested</t>
        </is>
      </c>
      <c r="J11" s="5" t="inlineStr">
        <is>
          <t>not tested</t>
        </is>
      </c>
      <c r="K11" s="5" t="inlineStr">
        <is>
          <t>not tested</t>
        </is>
      </c>
      <c r="L11" s="5" t="inlineStr">
        <is>
          <t>not tested</t>
        </is>
      </c>
      <c r="M11" s="5" t="inlineStr">
        <is>
          <t>not measured</t>
        </is>
      </c>
      <c r="N11" s="8" t="inlineStr">
        <is>
          <t>Search index: 651 apartments; advertises exact map location and PEN/USD prices | could not be opened from this environment (egress policy); verify before relying on it</t>
        </is>
      </c>
    </row>
    <row r="12">
      <c r="A12" s="5" t="inlineStr">
        <is>
          <t>LaEncontre</t>
        </is>
      </c>
      <c r="B12" s="8" t="inlineStr">
        <is>
          <t>PENDING (not automated this iteration)</t>
        </is>
      </c>
      <c r="C12" s="8" t="inlineStr">
        <is>
          <t>not automated — use manual import</t>
        </is>
      </c>
      <c r="D12" s="8" t="inlineStr">
        <is>
          <t>https://www.laencontre.com.pe/alquiler/departamentos/lima/miraflores</t>
        </is>
      </c>
      <c r="E12" s="5" t="n">
        <v>0</v>
      </c>
      <c r="F12" s="8" t="inlineStr">
        <is>
          <t>public (search index)</t>
        </is>
      </c>
      <c r="G12" s="5" t="inlineStr">
        <is>
          <t>not tested</t>
        </is>
      </c>
      <c r="H12" s="5" t="inlineStr">
        <is>
          <t>not tested</t>
        </is>
      </c>
      <c r="I12" s="5" t="inlineStr">
        <is>
          <t>not tested</t>
        </is>
      </c>
      <c r="J12" s="5" t="inlineStr">
        <is>
          <t>not tested</t>
        </is>
      </c>
      <c r="K12" s="5" t="inlineStr">
        <is>
          <t>not tested</t>
        </is>
      </c>
      <c r="L12" s="5" t="inlineStr">
        <is>
          <t>not tested</t>
        </is>
      </c>
      <c r="M12" s="5" t="inlineStr">
        <is>
          <t>not measured</t>
        </is>
      </c>
      <c r="N12" s="8" t="inlineStr">
        <is>
          <t>Search index: 293 apartments in Miraflores | could not be opened from this environment (egress policy); verify before relying on it</t>
        </is>
      </c>
    </row>
    <row r="13">
      <c r="A13" s="5" t="inlineStr">
        <is>
          <t>Babilonia</t>
        </is>
      </c>
      <c r="B13" s="8" t="inlineStr">
        <is>
          <t>PENDING (not automated this iteration)</t>
        </is>
      </c>
      <c r="C13" s="8" t="inlineStr">
        <is>
          <t>not automated — use manual import</t>
        </is>
      </c>
      <c r="D13" s="8" t="inlineStr">
        <is>
          <t>https://babilonia.pe/inmuebles/departamentos-en-alquiler-en-lima-lima-miraflores</t>
        </is>
      </c>
      <c r="E13" s="5" t="n">
        <v>0</v>
      </c>
      <c r="F13" s="8" t="inlineStr">
        <is>
          <t>public (search index)</t>
        </is>
      </c>
      <c r="G13" s="5" t="inlineStr">
        <is>
          <t>not tested</t>
        </is>
      </c>
      <c r="H13" s="5" t="inlineStr">
        <is>
          <t>not tested</t>
        </is>
      </c>
      <c r="I13" s="5" t="inlineStr">
        <is>
          <t>not tested</t>
        </is>
      </c>
      <c r="J13" s="5" t="inlineStr">
        <is>
          <t>not tested</t>
        </is>
      </c>
      <c r="K13" s="5" t="inlineStr">
        <is>
          <t>not tested</t>
        </is>
      </c>
      <c r="L13" s="5" t="inlineStr">
        <is>
          <t>not tested</t>
        </is>
      </c>
      <c r="M13" s="5" t="inlineStr">
        <is>
          <t>not measured</t>
        </is>
      </c>
      <c r="N13" s="8" t="inlineStr">
        <is>
          <t>Peruvian portal; count not visible in index | could not be opened from this environment (egress policy); verify before relying on it</t>
        </is>
      </c>
    </row>
    <row r="14">
      <c r="A14" s="5" t="inlineStr">
        <is>
          <t>InfoCasas Perú</t>
        </is>
      </c>
      <c r="B14" s="8" t="inlineStr">
        <is>
          <t>PENDING (not automated this iteration)</t>
        </is>
      </c>
      <c r="C14" s="8" t="inlineStr">
        <is>
          <t>not automated — use manual import</t>
        </is>
      </c>
      <c r="D14" s="8" t="inlineStr">
        <is>
          <t>https://www.infocasas.com.pe/alquiler/departamentos/lima/miraflores/1-dormitorio</t>
        </is>
      </c>
      <c r="E14" s="5" t="n">
        <v>0</v>
      </c>
      <c r="F14" s="8" t="inlineStr">
        <is>
          <t>public (search index)</t>
        </is>
      </c>
      <c r="G14" s="5" t="inlineStr">
        <is>
          <t>not tested</t>
        </is>
      </c>
      <c r="H14" s="5" t="inlineStr">
        <is>
          <t>not tested</t>
        </is>
      </c>
      <c r="I14" s="5" t="inlineStr">
        <is>
          <t>not tested</t>
        </is>
      </c>
      <c r="J14" s="5" t="inlineStr">
        <is>
          <t>not tested</t>
        </is>
      </c>
      <c r="K14" s="5" t="inlineStr">
        <is>
          <t>not tested</t>
        </is>
      </c>
      <c r="L14" s="5" t="inlineStr">
        <is>
          <t>not tested</t>
        </is>
      </c>
      <c r="M14" s="5" t="inlineStr">
        <is>
          <t>not measured</t>
        </is>
      </c>
      <c r="N14" s="8" t="inlineStr">
        <is>
          <t>Has 1-bedroom Miraflores filter page | could not be opened from this environment (egress policy); verify before relying on it</t>
        </is>
      </c>
    </row>
    <row r="15">
      <c r="A15" s="5" t="inlineStr">
        <is>
          <t>RE/MAX Perú</t>
        </is>
      </c>
      <c r="B15" s="8" t="inlineStr">
        <is>
          <t>PENDING (not automated this iteration)</t>
        </is>
      </c>
      <c r="C15" s="8" t="inlineStr">
        <is>
          <t>not automated — use manual import</t>
        </is>
      </c>
      <c r="D15" s="8" t="inlineStr">
        <is>
          <t>https://www.remax.pe/departamentos-en+alquiler-miraflores-dist/</t>
        </is>
      </c>
      <c r="E15" s="5" t="n">
        <v>0</v>
      </c>
      <c r="F15" s="8" t="inlineStr">
        <is>
          <t>public (search index)</t>
        </is>
      </c>
      <c r="G15" s="5" t="inlineStr">
        <is>
          <t>not tested</t>
        </is>
      </c>
      <c r="H15" s="5" t="inlineStr">
        <is>
          <t>not tested</t>
        </is>
      </c>
      <c r="I15" s="5" t="inlineStr">
        <is>
          <t>not tested</t>
        </is>
      </c>
      <c r="J15" s="5" t="inlineStr">
        <is>
          <t>not tested</t>
        </is>
      </c>
      <c r="K15" s="5" t="inlineStr">
        <is>
          <t>not tested</t>
        </is>
      </c>
      <c r="L15" s="5" t="inlineStr">
        <is>
          <t>not tested</t>
        </is>
      </c>
      <c r="M15" s="5" t="inlineStr">
        <is>
          <t>not measured</t>
        </is>
      </c>
      <c r="N15" s="8" t="inlineStr">
        <is>
          <t>Agency network listings; often cross-posted to Urbania/Adondevivir | could not be opened from this environment (egress policy); verify before relying on it</t>
        </is>
      </c>
    </row>
    <row r="16">
      <c r="A16" s="5" t="inlineStr">
        <is>
          <t>Mitula Casas</t>
        </is>
      </c>
      <c r="B16" s="8" t="inlineStr">
        <is>
          <t>PENDING (not automated this iteration)</t>
        </is>
      </c>
      <c r="C16" s="8" t="inlineStr">
        <is>
          <t>not automated — use manual import</t>
        </is>
      </c>
      <c r="D16" s="8" t="inlineStr">
        <is>
          <t>https://casas.mitula.pe/casas/alquiler-departamentos-lima-miraflores</t>
        </is>
      </c>
      <c r="E16" s="5" t="n">
        <v>0</v>
      </c>
      <c r="F16" s="8" t="inlineStr">
        <is>
          <t>public (search index)</t>
        </is>
      </c>
      <c r="G16" s="5" t="inlineStr">
        <is>
          <t>not tested</t>
        </is>
      </c>
      <c r="H16" s="5" t="inlineStr">
        <is>
          <t>not tested</t>
        </is>
      </c>
      <c r="I16" s="5" t="inlineStr">
        <is>
          <t>not tested</t>
        </is>
      </c>
      <c r="J16" s="5" t="inlineStr">
        <is>
          <t>not tested</t>
        </is>
      </c>
      <c r="K16" s="5" t="inlineStr">
        <is>
          <t>not tested</t>
        </is>
      </c>
      <c r="L16" s="5" t="inlineStr">
        <is>
          <t>not tested</t>
        </is>
      </c>
      <c r="M16" s="5" t="inlineStr">
        <is>
          <t>not measured</t>
        </is>
      </c>
      <c r="N16" s="8" t="inlineStr">
        <is>
          <t>Aggregator of other portals — mostly duplicates; low marginal value | could not be opened from this environment (egress policy); verify before relying on it</t>
        </is>
      </c>
    </row>
  </sheetData>
  <autoFilter ref="A4:N16"/>
  <conditionalFormatting sqref="A5:N16">
    <cfRule type="cellIs" priority="1" operator="equal" dxfId="0">
      <formula>"UNKNOWN"</formula>
    </cfRule>
    <cfRule type="expression" priority="2" dxfId="2">
      <formula>MOD(ROW(),2)=0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120" customWidth="1" min="2" max="2"/>
  </cols>
  <sheetData>
    <row r="1">
      <c r="A1" s="1" t="inlineStr">
        <is>
          <t>Methodology, scoring and limitations</t>
        </is>
      </c>
    </row>
    <row r="2">
      <c r="A2" s="2" t="inlineStr">
        <is>
          <t>Generated 2026-09-24T17:45:37-05:00 · FX 1 USD = S/ 3.385 (fallback)</t>
        </is>
      </c>
    </row>
    <row r="3">
      <c r="A3" s="3" t="inlineStr">
        <is>
          <t>SYNTHETIC DEMO DATA — FORMAT PREVIEW ONLY — THESE ARE NOT REAL LISTINGS</t>
        </is>
      </c>
    </row>
    <row r="5">
      <c r="A5" s="13" t="inlineStr">
        <is>
          <t>Objective</t>
        </is>
      </c>
      <c r="B5" s="8" t="inlineStr">
        <is>
          <t>Find the strongest currently advertised 1–2 bedroom rentals inside Miraflores (Lima) for a couple, at or below USD 1,000/month, prioritising quiet and usable space.</t>
        </is>
      </c>
    </row>
    <row r="6">
      <c r="A6" s="13" t="inlineStr">
        <is>
          <t>Hard requirements</t>
        </is>
      </c>
      <c r="B6" s="8" t="inlineStr">
        <is>
          <t>Miraflores only · rent (not sale) · apartment · 1–2 bedrooms (studios excluded unless the listing classifies the unit as 1 bedroom) · base rent ≤ USD 1,000. A high score never overrides a hard requirement.</t>
        </is>
      </c>
    </row>
    <row r="7">
      <c r="A7" s="13" t="inlineStr">
        <is>
          <t>Stretch / near misses</t>
        </is>
      </c>
      <c r="B7" s="8" t="inlineStr">
        <is>
          <t>Rent USD 1,001–1,100 → STRETCH_NEGOTIABLE only. Outside Miraflores → NEAR_MISSES only if within 300 m of the boundary, budget-compliant and fit ≥ 70.</t>
        </is>
      </c>
    </row>
    <row r="8">
      <c r="A8" s="13" t="inlineStr">
        <is>
          <t>Run</t>
        </is>
      </c>
      <c r="B8" s="8" t="inlineStr">
        <is>
          <t>Generated 2026-09-24T17:45:37-05:00. Listings collected: 41; unique after de-duplication: 40; budget-compliant matches: 26; stretch: 9; near misses: 1. External cost: USD 0.00.</t>
        </is>
      </c>
    </row>
    <row r="9">
      <c r="A9" s="13" t="inlineStr">
        <is>
          <t>Exchange rate</t>
        </is>
      </c>
      <c r="B9" s="8" t="inlineStr">
        <is>
          <t>1 USD = S/ 3.385 · SYNTHETIC DEMO RATE (same value as documented fallback) · 2026-09-24T17:45:37-05:00. Used for every conversion. Values published by the listing are marked PUBLISHED; converted values CALCULATED. When a listing publishes both currencies, both are kept as published.</t>
        </is>
      </c>
    </row>
    <row r="10">
      <c r="A10" s="13" t="inlineStr">
        <is>
          <t>Fit score (100)</t>
        </is>
      </c>
      <c r="B10" s="8" t="inlineStr">
        <is>
          <t>Quietness 25 · Budget/total cost 20 · Space/layout 20 · Location/daily livability 10 · Furnishing 8 · Building/security/amenities 7 · Listing quality/freshness 10.</t>
        </is>
      </c>
    </row>
    <row r="11">
      <c r="A11" s="13" t="inlineStr">
        <is>
          <t>Budget points</t>
        </is>
      </c>
      <c r="B11" s="8" t="inlineStr">
        <is>
          <t>Full points need a known total (rent + maintenance) ≤ USD 1,000; lower totals score higher. Unknown maintenance is scored on rent only and capped below a known total, and flagged.</t>
        </is>
      </c>
    </row>
    <row r="12">
      <c r="A12" s="13" t="inlineStr">
        <is>
          <t>Space points</t>
        </is>
      </c>
      <c r="B12" s="8" t="inlineStr">
        <is>
          <t>Area bands per bedroom count (1BR: &lt;40 small, 40–49 acceptable, 50–59 good, ≥60 very spacious; 2BR: &lt;55, 55–69, 70–84, ≥85). Built (techada) area preferred over total area. Bonuses: 2nd bathroom, balcony/terrace, study, laundry, walk-in closet.</t>
        </is>
      </c>
    </row>
    <row r="13">
      <c r="A13" s="13" t="inlineStr">
        <is>
          <t>Noise model</t>
        </is>
      </c>
      <c r="B13" s="8" t="inlineStr">
        <is>
          <t>Baseline 72. Major road (OSM motorway/trunk/primary) ≤50 m −30, ≤150 m −15, ≤300 m −6; secondary arterial ≤30 m −14; nightclub ≤150 m −25, ≤300 m −12; ≥3 bars within 150 m −12; interior-facing +10; acoustic windows +12; avenue view -12; floor ≥8 +3. LOW risk ≥70, MEDIUM ≥50, else HIGH. Confidence HIGH needs exact coordinates + stated orientation; LOW when location is approximate or missing (then the score is shrunk toward neutral). It is an estimate — confirm in person.</t>
        </is>
      </c>
    </row>
    <row r="14">
      <c r="A14" s="13" t="inlineStr">
        <is>
          <t>Change vs brief</t>
        </is>
      </c>
      <c r="B14" s="8" t="inlineStr">
        <is>
          <t>Added a secondary-arterial tier and restaurant-cluster penalty (busy frontage), and confidence shrinkage when coordinates are missing. Near misses additionally require proximity to the boundary. Portal price filter set to USD 1,150 (not 1,000) so the stretch band and PEN-priced listings are not lost; every record is re-validated. Ranking rule: units with HIGH estimated noise (medium/high confidence) are ranked after all LOW/MEDIUM units, because quiet is the first priority.</t>
        </is>
      </c>
    </row>
    <row r="15">
      <c r="A15" s="13" t="inlineStr">
        <is>
          <t>Livability</t>
        </is>
      </c>
      <c r="B15" s="8" t="inlineStr">
        <is>
          <t>Distance to supermarket (≤500 m), pharmacy (≤400 m), park (≤300 m), café (≤300 m), bus/Metropolitano stop (≤400 m), Malecón (≤900 m); half credit up to 1.6× those distances. Nightlife is never rewarded.</t>
        </is>
      </c>
    </row>
    <row r="16">
      <c r="A16" s="13" t="inlineStr">
        <is>
          <t>Value bands</t>
        </is>
      </c>
      <c r="B16" s="8" t="inlineStr">
        <is>
          <t>USD per m² within the same bedroom count, relative to this sample only: lowest quartile EXCELLENT_VALUE, then GOOD, FAIR, EXPENSIVE_RELATIVE_TO_SAMPLE. Not an official valuation.</t>
        </is>
      </c>
    </row>
    <row r="17">
      <c r="A17" s="13" t="inlineStr">
        <is>
          <t>De-duplication</t>
        </is>
      </c>
      <c r="B17" s="8" t="inlineStr">
        <is>
          <t>Pairs scored on URL, portal id (Urbania/Adondevivir share posting ids), coordinates, area, price, phone, fuzzy title and description (rapidfuzz), normalised address and shared photo ids. Groups keep every source URL; the most complete record is canonical; conflicts are flagged.</t>
        </is>
      </c>
    </row>
    <row r="18">
      <c r="A18" s="13" t="inlineStr">
        <is>
          <t>Availability</t>
        </is>
      </c>
      <c r="B18" s="8" t="inlineStr">
        <is>
          <t>LIKELY_ACTIVE = returned by a live search at scrape time. ACTIVE_CONFIRMED = source page re-opened successfully during QA. Never stated as guaranteed.</t>
        </is>
      </c>
    </row>
    <row r="19">
      <c r="A19" s="13" t="inlineStr">
        <is>
          <t>Unknown values</t>
        </is>
      </c>
      <c r="B19" s="8" t="inlineStr">
        <is>
          <t>Shown as UNKNOWN. Nothing is imputed. Maintenance read from description text is used only when the portal field is empty and is flagged in the evidence column.</t>
        </is>
      </c>
    </row>
    <row r="20">
      <c r="A20" s="13" t="inlineStr">
        <is>
          <t>Data sources</t>
        </is>
      </c>
      <c r="B20" s="8" t="inlineStr">
        <is>
          <t>Portals via Apify actors or polite direct requests (robots.txt, ≥2 s spacing, no login, no CAPTCHA solving). Map data © OpenStreetMap contributors (ODbL) via Overpass.</t>
        </is>
      </c>
    </row>
    <row r="21">
      <c r="A21" s="13" t="inlineStr">
        <is>
          <t>Limitations</t>
        </is>
      </c>
      <c r="B21" s="8" t="inlineStr">
        <is>
          <t>Advertiser-reported data; approximate portal locations; OSM may miss venues; the noise model cannot see building insulation or neighbours; availability changes daily.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zoomScale="100" workbookViewId="0">
      <selection pane="bottomLeft" activeCell="A1" sqref="A1"/>
    </sheetView>
  </sheetViews>
  <sheetFormatPr baseColWidth="8" defaultRowHeight="15"/>
  <cols>
    <col width="10" customWidth="1" min="1" max="1"/>
    <col width="34" customWidth="1" min="2" max="2"/>
    <col width="36" customWidth="1" min="3" max="3"/>
    <col width="12" customWidth="1" min="4" max="4"/>
    <col width="30" customWidth="1" min="5" max="5"/>
    <col width="60" customWidth="1" min="6" max="6"/>
  </cols>
  <sheetData>
    <row r="1">
      <c r="A1" s="1" t="inlineStr">
        <is>
          <t>Contact guide — nothing has been sent; contact is left to you</t>
        </is>
      </c>
    </row>
    <row r="2">
      <c r="A2" s="2" t="inlineStr">
        <is>
          <t>Generated 2026-09-24T17:45:37-05:00 · FX 1 USD = S/ 3.385 (fallback)</t>
        </is>
      </c>
    </row>
    <row r="3">
      <c r="A3" s="3" t="inlineStr">
        <is>
          <t>SYNTHETIC DEMO DATA — FORMAT PREVIEW ONLY — THESE ARE NOT REAL LISTINGS</t>
        </is>
      </c>
    </row>
    <row r="5" ht="250" customHeight="1">
      <c r="A5" s="14" t="inlineStr">
        <is>
          <t>English</t>
        </is>
      </c>
      <c r="B5" s="15" t="inlineStr">
        <is>
          <t>Hello, I found your listing for the apartment in Miraflores: [LISTING LINK]
My partner and I are interested and would be grateful if you could confirm:
1. Is the apartment still available?
2. What is the final monthly rent?
3. What is the monthly maintenance fee?
4. Which utilities are included (water, electricity, gas, internet)?
5. Is internet included?
6. What is the minimum lease term?
7. How many months of deposit (and advance) are required?
8. Is it fully furnished? Could you share an inventory?
9. Do the bedroom and living room face the street or the interior of the building? Is there traffic or nightlife noise?
10. What documents do you require from a foreign tenant?
11. When could we visit? Ideally we would see it once on a weekday evening.
Thank you very much. Kind regards,
[YOUR NAME] · [PHONE]</t>
        </is>
      </c>
    </row>
    <row r="6" ht="250" customHeight="1">
      <c r="A6" s="14" t="inlineStr">
        <is>
          <t>Español</t>
        </is>
      </c>
      <c r="B6" s="15" t="inlineStr">
        <is>
          <t>Hola, vi su anuncio del departamento en Miraflores: [ENLACE DEL ANUNCIO]
Somos una pareja interesada y les agradecería confirmar:
1. ¿El departamento sigue disponible?
2. ¿Cuál es el precio final de alquiler mensual?
3. ¿Cuánto es el mantenimiento mensual?
4. ¿Qué servicios están incluidos (agua, luz, gas, internet)?
5. ¿El internet está incluido?
6. ¿Cuál es el plazo mínimo del contrato?
7. ¿Cuántos meses de garantía (y adelanto) se requieren?
8. ¿Está completamente amoblado? ¿Podrían enviarnos el inventario?
9. ¿El dormitorio y la sala dan a la calle o al interior del edificio? ¿Hay ruido de tráfico o de locales nocturnos?
10. ¿Qué documentos solicitan a un inquilino extranjero?
11. ¿Cuándo podríamos visitarlo? De preferencia, un día de semana por la tarde-noche.
Muchas gracias. Saludos cordiales,
[SU NOMBRE] · [TELÉFONO]</t>
        </is>
      </c>
    </row>
    <row r="8">
      <c r="A8" s="1" t="inlineStr">
        <is>
          <t>Top 10 — who to contact and what to ask</t>
        </is>
      </c>
    </row>
    <row r="9">
      <c r="A9" s="2" t="inlineStr"/>
    </row>
    <row r="11" ht="30" customHeight="1">
      <c r="A11" s="4" t="inlineStr">
        <is>
          <t>Rank</t>
        </is>
      </c>
      <c r="B11" s="4" t="inlineStr">
        <is>
          <t>Property</t>
        </is>
      </c>
      <c r="C11" s="4" t="inlineStr">
        <is>
          <t>Who to contact</t>
        </is>
      </c>
      <c r="D11" s="4" t="inlineStr">
        <is>
          <t>View Listing</t>
        </is>
      </c>
      <c r="E11" s="4" t="inlineStr">
        <is>
          <t>WhatsApp</t>
        </is>
      </c>
      <c r="F11" s="4" t="inlineStr">
        <is>
          <t>Ask specifically</t>
        </is>
      </c>
    </row>
    <row r="12">
      <c r="A12" s="6" t="n">
        <v>1</v>
      </c>
      <c r="B12" s="8" t="inlineStr">
        <is>
          <t>2BR · 72 m² — Calle Ejemplo 109 (DEMO)</t>
        </is>
      </c>
      <c r="C12" s="8" t="inlineStr">
        <is>
          <t>DEMO Inmobiliaria E · Tel. +5110001009</t>
        </is>
      </c>
      <c r="D12" s="10" t="inlineStr">
        <is>
          <t>View listing</t>
        </is>
      </c>
      <c r="E12" s="5" t="inlineStr">
        <is>
          <t>—</t>
        </is>
      </c>
      <c r="F12" s="8" t="inlineStr">
        <is>
          <t>availability and visit times</t>
        </is>
      </c>
    </row>
    <row r="13">
      <c r="A13" s="6" t="n">
        <v>2</v>
      </c>
      <c r="B13" s="8" t="inlineStr">
        <is>
          <t>1BR · 58 m² — Calle Ejemplo 100 (DEMO)</t>
        </is>
      </c>
      <c r="C13" s="8" t="inlineStr">
        <is>
          <t>DEMO Inmobiliaria A · Tel. +5110001000</t>
        </is>
      </c>
      <c r="D13" s="10" t="inlineStr">
        <is>
          <t>View listing</t>
        </is>
      </c>
      <c r="E13" s="5" t="inlineStr">
        <is>
          <t>—</t>
        </is>
      </c>
      <c r="F13" s="8" t="inlineStr">
        <is>
          <t>minimum lease term; deposit months; does the bedroom face the street or the interior?</t>
        </is>
      </c>
    </row>
    <row r="14">
      <c r="A14" s="6" t="n">
        <v>3</v>
      </c>
      <c r="B14" s="8" t="inlineStr">
        <is>
          <t>2BR · 80 m² — Av. Ejemplo 229 (DEMO)</t>
        </is>
      </c>
      <c r="C14" s="8" t="inlineStr">
        <is>
          <t>DEMO Agente G · contact form on Adondevivir</t>
        </is>
      </c>
      <c r="D14" s="10" t="inlineStr">
        <is>
          <t>View listing</t>
        </is>
      </c>
      <c r="E14" s="5" t="inlineStr">
        <is>
          <t>—</t>
        </is>
      </c>
      <c r="F14" s="8" t="inlineStr">
        <is>
          <t>does the bedroom face the street or the interior?</t>
        </is>
      </c>
    </row>
    <row r="15">
      <c r="A15" s="6" t="n">
        <v>4</v>
      </c>
      <c r="B15" s="8" t="inlineStr">
        <is>
          <t>1BR · 63 m² — Av. Ejemplo 222 (DEMO)</t>
        </is>
      </c>
      <c r="C15" s="8" t="inlineStr">
        <is>
          <t>DEMO Agente H · contact form on Urbania</t>
        </is>
      </c>
      <c r="D15" s="10" t="inlineStr">
        <is>
          <t>View listing</t>
        </is>
      </c>
      <c r="E15" s="5" t="inlineStr">
        <is>
          <t>—</t>
        </is>
      </c>
      <c r="F15" s="8" t="inlineStr">
        <is>
          <t>minimum lease term; deposit months; does the bedroom face the street or the interior?</t>
        </is>
      </c>
    </row>
    <row r="16">
      <c r="A16" s="6" t="n">
        <v>5</v>
      </c>
      <c r="B16" s="8" t="inlineStr">
        <is>
          <t>1BR · 61 m² — Calle Ejemplo 130 (DEMO)</t>
        </is>
      </c>
      <c r="C16" s="8" t="inlineStr">
        <is>
          <t>DEMO Inmobiliaria A · Tel. +5110001030</t>
        </is>
      </c>
      <c r="D16" s="10" t="inlineStr">
        <is>
          <t>View listing</t>
        </is>
      </c>
      <c r="E16" s="5" t="inlineStr">
        <is>
          <t>—</t>
        </is>
      </c>
      <c r="F16" s="8" t="inlineStr">
        <is>
          <t>exact maintenance fee; does the bedroom face the street or the interior?; exact address/block</t>
        </is>
      </c>
    </row>
    <row r="17">
      <c r="A17" s="6" t="n">
        <v>6</v>
      </c>
      <c r="B17" s="8" t="inlineStr">
        <is>
          <t>1BR · 38 m² — Av. Ejemplo 210 (DEMO)</t>
        </is>
      </c>
      <c r="C17" s="8" t="inlineStr">
        <is>
          <t>DEMO Agente H · contact form on Urbania</t>
        </is>
      </c>
      <c r="D17" s="10" t="inlineStr">
        <is>
          <t>View listing</t>
        </is>
      </c>
      <c r="E17" s="5" t="inlineStr">
        <is>
          <t>—</t>
        </is>
      </c>
      <c r="F17" s="8" t="inlineStr">
        <is>
          <t>does the bedroom face the street or the interior?; exact address/block</t>
        </is>
      </c>
    </row>
    <row r="18">
      <c r="A18" s="6" t="n">
        <v>7</v>
      </c>
      <c r="B18" s="8" t="inlineStr">
        <is>
          <t>1BR · 43 m² — Calle Ejemplo 112 (DEMO)</t>
        </is>
      </c>
      <c r="C18" s="8" t="inlineStr">
        <is>
          <t>DEMO Inmobiliaria C · Tel. +5110001012</t>
        </is>
      </c>
      <c r="D18" s="10" t="inlineStr">
        <is>
          <t>View listing</t>
        </is>
      </c>
      <c r="E18" s="5" t="inlineStr">
        <is>
          <t>—</t>
        </is>
      </c>
      <c r="F18" s="8" t="inlineStr">
        <is>
          <t>does the bedroom face the street or the interior?; exact address/block</t>
        </is>
      </c>
    </row>
    <row r="19">
      <c r="A19" s="6" t="n">
        <v>8</v>
      </c>
      <c r="B19" s="8" t="inlineStr">
        <is>
          <t>2BR · 92 m² — Calle Ejemplo 103 (DEMO)</t>
        </is>
      </c>
      <c r="C19" s="8" t="inlineStr">
        <is>
          <t>DEMO Inmobiliaria D · Tel. +5110001003</t>
        </is>
      </c>
      <c r="D19" s="10" t="inlineStr">
        <is>
          <t>View listing</t>
        </is>
      </c>
      <c r="E19" s="5" t="inlineStr">
        <is>
          <t>—</t>
        </is>
      </c>
      <c r="F19" s="8" t="inlineStr">
        <is>
          <t>exact maintenance fee; deposit months; does the bedroom face the street or the interior?; exact address/block</t>
        </is>
      </c>
    </row>
    <row r="20">
      <c r="A20" s="6" t="n">
        <v>9</v>
      </c>
      <c r="B20" s="8" t="inlineStr">
        <is>
          <t>2BR · 61 m² — Av. Ejemplo 211 (DEMO)</t>
        </is>
      </c>
      <c r="C20" s="8" t="inlineStr">
        <is>
          <t>DEMO Agente I · contact form on Adondevivir</t>
        </is>
      </c>
      <c r="D20" s="10" t="inlineStr">
        <is>
          <t>View listing</t>
        </is>
      </c>
      <c r="E20" s="5" t="inlineStr">
        <is>
          <t>—</t>
        </is>
      </c>
      <c r="F20" s="5" t="inlineStr">
        <is>
          <t>deposit months</t>
        </is>
      </c>
    </row>
    <row r="21">
      <c r="A21" s="6" t="n">
        <v>10</v>
      </c>
      <c r="B21" s="8" t="inlineStr">
        <is>
          <t>1BR · 47 m² — Calle Ejemplo 127 (DEMO)</t>
        </is>
      </c>
      <c r="C21" s="8" t="inlineStr">
        <is>
          <t>DEMO Inmobiliaria C · Tel. +5110001027</t>
        </is>
      </c>
      <c r="D21" s="10" t="inlineStr">
        <is>
          <t>View listing</t>
        </is>
      </c>
      <c r="E21" s="5" t="inlineStr">
        <is>
          <t>—</t>
        </is>
      </c>
      <c r="F21" s="8" t="inlineStr">
        <is>
          <t>minimum lease term; deposit months; does the bedroom face the street or the interior?</t>
        </is>
      </c>
    </row>
  </sheetData>
  <autoFilter ref="A11:F21"/>
  <mergeCells count="2">
    <mergeCell ref="B6:F6"/>
    <mergeCell ref="B5:F5"/>
  </mergeCells>
  <conditionalFormatting sqref="A12:F21">
    <cfRule type="cellIs" priority="1" operator="equal" dxfId="0">
      <formula>"UNKNOWN"</formula>
    </cfRule>
    <cfRule type="expression" priority="2" dxfId="2">
      <formula>MOD(ROW(),2)=0</formula>
    </cfRule>
  </conditionalFormatting>
  <hyperlinks>
    <hyperlink xmlns:r="http://schemas.openxmlformats.org/officeDocument/2006/relationships" ref="D12" r:id="rId1"/>
    <hyperlink xmlns:r="http://schemas.openxmlformats.org/officeDocument/2006/relationships" ref="D13" r:id="rId2"/>
    <hyperlink xmlns:r="http://schemas.openxmlformats.org/officeDocument/2006/relationships" ref="D14" r:id="rId3"/>
    <hyperlink xmlns:r="http://schemas.openxmlformats.org/officeDocument/2006/relationships" ref="D15" r:id="rId4"/>
    <hyperlink xmlns:r="http://schemas.openxmlformats.org/officeDocument/2006/relationships" ref="D16" r:id="rId5"/>
    <hyperlink xmlns:r="http://schemas.openxmlformats.org/officeDocument/2006/relationships" ref="D17" r:id="rId6"/>
    <hyperlink xmlns:r="http://schemas.openxmlformats.org/officeDocument/2006/relationships" ref="D18" r:id="rId7"/>
    <hyperlink xmlns:r="http://schemas.openxmlformats.org/officeDocument/2006/relationships" ref="D19" r:id="rId8"/>
    <hyperlink xmlns:r="http://schemas.openxmlformats.org/officeDocument/2006/relationships" ref="D20" r:id="rId9"/>
    <hyperlink xmlns:r="http://schemas.openxmlformats.org/officeDocument/2006/relationships" ref="D2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2026-09-24T22:45:37Z</dcterms:created>
  <dcterms:modified xsi:type="dcterms:W3CDTF">2026-09-24T22:45:37Z</dcterms:modified>
</cp:coreProperties>
</file>