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_SHORTLIST" sheetId="1" state="visible" r:id="rId1"/>
    <sheet name="ALL_MATCHES" sheetId="2" state="visible" r:id="rId2"/>
    <sheet name="STRETCH_NEGOTIABLE" sheetId="3" state="visible" r:id="rId3"/>
    <sheet name="NEAR_MISSES" sheetId="4" state="visible" r:id="rId4"/>
    <sheet name="SOURCE_AUDIT" sheetId="5" state="visible" r:id="rId5"/>
    <sheet name="METHODOLOGY" sheetId="6" state="visible" r:id="rId6"/>
    <sheet name="CONTACT_GUIDE" sheetId="7" state="visible" r:id="rId7"/>
  </sheets>
  <definedNames>
    <definedName name="_xlnm._FilterDatabase" localSheetId="0" hidden="1">'EXECUTIVE_SHORTLIST'!$A$4:$Y$30</definedName>
    <definedName name="_xlnm._FilterDatabase" localSheetId="1" hidden="1">'ALL_MATCHES'!$A$4:$BC$30</definedName>
    <definedName name="_xlnm._FilterDatabase" localSheetId="2" hidden="1">'STRETCH_NEGOTIABLE'!$A$4:$BC$13</definedName>
    <definedName name="_xlnm._FilterDatabase" localSheetId="3" hidden="1">'NEAR_MISSES'!$A$4:$BC$5</definedName>
    <definedName name="_xlnm._FilterDatabase" localSheetId="4" hidden="1">'SOURCE_AUDIT'!$A$4:$N$16</definedName>
    <definedName name="_xlnm._FilterDatabase" localSheetId="6" hidden="1">'CONTACT_GUIDE'!$A$11:$F$21</definedName>
  </definedNames>
  <calcPr calcId="124519" fullCalcOnLoad="1"/>
</workbook>
</file>

<file path=xl/styles.xml><?xml version="1.0" encoding="utf-8"?>
<styleSheet xmlns="http://schemas.openxmlformats.org/spreadsheetml/2006/main">
  <numFmts count="4">
    <numFmt numFmtId="164" formatCode="0.0"/>
    <numFmt numFmtId="165" formatCode="&quot;USD&quot; #,##0"/>
    <numFmt numFmtId="166" formatCode="&quot;S/&quot; #,##0"/>
    <numFmt numFmtId="167" formatCode="0.#"/>
  </numFmts>
  <fonts count="9">
    <font>
      <name val="Calibri"/>
      <family val="2"/>
      <color theme="1"/>
      <sz val="11"/>
      <scheme val="minor"/>
    </font>
    <font>
      <name val="Calibri"/>
      <b val="1"/>
      <color rgb="001F3A4D"/>
      <sz val="14"/>
    </font>
    <font>
      <name val="Calibri"/>
      <i val="1"/>
      <color rgb="0052514E"/>
      <sz val="9"/>
    </font>
    <font>
      <name val="Calibri"/>
      <b val="1"/>
      <color rgb="00B42318"/>
      <sz val="11"/>
    </font>
    <font>
      <name val="Calibri"/>
      <b val="1"/>
      <color rgb="00FFFFFF"/>
      <sz val="10"/>
    </font>
    <font>
      <name val="Calibri"/>
      <color rgb="001B1B1B"/>
      <sz val="10"/>
    </font>
    <font>
      <name val="Calibri"/>
      <color rgb="001F5FBF"/>
      <sz val="10"/>
      <u val="single"/>
    </font>
    <font>
      <name val="Calibri"/>
      <b val="1"/>
      <color rgb="001F3A4D"/>
      <sz val="10"/>
    </font>
    <font>
      <b val="1"/>
      <color rgb="001F3A4D"/>
    </font>
  </fonts>
  <fills count="3">
    <fill>
      <patternFill/>
    </fill>
    <fill>
      <patternFill patternType="gray125"/>
    </fill>
    <fill>
      <patternFill patternType="solid">
        <fgColor rgb="001F3A4D"/>
      </patternFill>
    </fill>
  </fills>
  <borders count="2">
    <border>
      <left/>
      <right/>
      <top/>
      <bottom/>
      <diagonal/>
    </border>
    <border>
      <bottom style="thin">
        <color rgb="00D9DCE1"/>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1" applyAlignment="1" pivotButton="0" quotePrefix="0" xfId="0">
      <alignment vertical="top"/>
    </xf>
    <xf numFmtId="1" fontId="5" fillId="0" borderId="1" applyAlignment="1" pivotButton="0" quotePrefix="0" xfId="0">
      <alignment vertical="top"/>
    </xf>
    <xf numFmtId="164" fontId="5" fillId="0" borderId="1" applyAlignment="1" pivotButton="0" quotePrefix="0" xfId="0">
      <alignment vertical="top"/>
    </xf>
    <xf numFmtId="0" fontId="5" fillId="0" borderId="1" applyAlignment="1" pivotButton="0" quotePrefix="0" xfId="0">
      <alignment vertical="top" wrapText="1"/>
    </xf>
    <xf numFmtId="165" fontId="5" fillId="0" borderId="1" applyAlignment="1" pivotButton="0" quotePrefix="0" xfId="0">
      <alignment vertical="top"/>
    </xf>
    <xf numFmtId="0" fontId="6" fillId="0" borderId="1" applyAlignment="1" pivotButton="0" quotePrefix="0" xfId="0">
      <alignment vertical="top"/>
    </xf>
    <xf numFmtId="166" fontId="5" fillId="0" borderId="1" applyAlignment="1" pivotButton="0" quotePrefix="0" xfId="0">
      <alignment vertical="top"/>
    </xf>
    <xf numFmtId="167" fontId="5" fillId="0" borderId="1" applyAlignment="1" pivotButton="0" quotePrefix="0" xfId="0">
      <alignment vertical="top"/>
    </xf>
    <xf numFmtId="0" fontId="7" fillId="0" borderId="1" applyAlignment="1" pivotButton="0" quotePrefix="0" xfId="0">
      <alignment vertical="top" wrapText="1"/>
    </xf>
    <xf numFmtId="0" fontId="8" fillId="0" borderId="0" pivotButton="0" quotePrefix="0" xfId="0"/>
    <xf numFmtId="0" fontId="0" fillId="0" borderId="0" applyAlignment="1" pivotButton="0" quotePrefix="0" xfId="0">
      <alignment vertical="top" wrapText="1"/>
    </xf>
  </cellXfs>
  <cellStyles count="1">
    <cellStyle name="Normal" xfId="0" builtinId="0" hidden="0"/>
  </cellStyles>
  <dxfs count="8">
    <dxf>
      <font>
        <i val="1"/>
        <color rgb="008A8A8A"/>
      </font>
      <fill>
        <patternFill patternType="solid">
          <fgColor rgb="00F1F1EF"/>
        </patternFill>
      </fill>
    </dxf>
    <dxf>
      <fill>
        <patternFill patternType="solid">
          <fgColor rgb="00E3F1E6"/>
        </patternFill>
      </fill>
    </dxf>
    <dxf>
      <fill>
        <patternFill patternType="solid">
          <fgColor rgb="00F6F8FA"/>
        </patternFill>
      </fill>
    </dxf>
    <dxf>
      <font>
        <b val="1"/>
        <color rgb="000B6B22"/>
      </font>
      <fill>
        <patternFill patternType="solid">
          <fgColor rgb="00D8F0DD"/>
        </patternFill>
      </fill>
    </dxf>
    <dxf>
      <font>
        <b val="1"/>
        <color rgb="007A5200"/>
      </font>
      <fill>
        <patternFill patternType="solid">
          <fgColor rgb="00FFF1CC"/>
        </patternFill>
      </fill>
    </dxf>
    <dxf>
      <font>
        <b val="1"/>
        <color rgb="009B1C13"/>
      </font>
      <fill>
        <patternFill patternType="solid">
          <fgColor rgb="00FBD5D2"/>
        </patternFill>
      </fill>
    </dxf>
    <dxf>
      <font>
        <b val="1"/>
        <color rgb="009A3412"/>
      </font>
      <fill>
        <patternFill patternType="solid">
          <fgColor rgb="00FDE2C8"/>
        </patternFill>
      </fill>
    </dxf>
    <dxf>
      <font>
        <b val="1"/>
        <color rgb="000B6B2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pipeline</author>
  </authors>
  <commentList>
    <comment ref="E7" authorId="0" shapeId="0">
      <text>
        <t>Published as S/ 2,600. Converted at 1 USD = S/ 3.385 (see METHODOLOGY).</t>
      </text>
    </comment>
    <comment ref="E8" authorId="0" shapeId="0">
      <text>
        <t>Published as S/ 2,450. Converted at 1 USD = S/ 3.385 (see METHODOLOGY).</t>
      </text>
    </comment>
    <comment ref="E10" authorId="0" shapeId="0">
      <text>
        <t>Published as S/ 2,150. Converted at 1 USD = S/ 3.385 (see METHODOLOGY).</t>
      </text>
    </comment>
    <comment ref="E13" authorId="0" shapeId="0">
      <text>
        <t>Published as S/ 2,250. Converted at 1 USD = S/ 3.385 (see METHODOLOGY).</t>
      </text>
    </comment>
    <comment ref="E15" authorId="0" shapeId="0">
      <text>
        <t>Published as S/ 2,750. Converted at 1 USD = S/ 3.385 (see METHODOLOGY).</t>
      </text>
    </comment>
    <comment ref="E16" authorId="0" shapeId="0">
      <text>
        <t>Published as S/ 2,650. Converted at 1 USD = S/ 3.385 (see METHODOLOGY).</t>
      </text>
    </comment>
    <comment ref="E17" authorId="0" shapeId="0">
      <text>
        <t>Published as S/ 2,650. Converted at 1 USD = S/ 3.385 (see METHODOLOGY).</t>
      </text>
    </comment>
    <comment ref="E19" authorId="0" shapeId="0">
      <text>
        <t>Published as S/ 2,900. Converted at 1 USD = S/ 3.385 (see METHODOLOGY).</t>
      </text>
    </comment>
    <comment ref="E21" authorId="0" shapeId="0">
      <text>
        <t>Published as S/ 3,000. Converted at 1 USD = S/ 3.385 (see METHODOLOGY).</t>
      </text>
    </comment>
    <comment ref="E22" authorId="0" shapeId="0">
      <text>
        <t>Published as S/ 2,700. Converted at 1 USD = S/ 3.385 (see METHODOLOGY).</t>
      </text>
    </comment>
    <comment ref="E23" authorId="0" shapeId="0">
      <text>
        <t>Published as S/ 3,250. Converted at 1 USD = S/ 3.385 (see METHODOLOGY).</t>
      </text>
    </comment>
    <comment ref="E24" authorId="0" shapeId="0">
      <text>
        <t>Published as S/ 2,750. Converted at 1 USD = S/ 3.385 (see METHODOLOGY).</t>
      </text>
    </comment>
    <comment ref="E25" authorId="0" shapeId="0">
      <text>
        <t>Published as S/ 2,850. Converted at 1 USD = S/ 3.385 (see METHODOLOGY).</t>
      </text>
    </comment>
    <comment ref="E26" authorId="0" shapeId="0">
      <text>
        <t>Published as S/ 3,300. Converted at 1 USD = S/ 3.385 (see METHODOLOGY).</t>
      </text>
    </comment>
    <comment ref="E28" authorId="0" shapeId="0">
      <text>
        <t>Published as S/ 2,300. Converted at 1 USD = S/ 3.385 (see METHODOLOGY).</t>
      </text>
    </comment>
    <comment ref="E30" authorId="0" shapeId="0">
      <text>
        <t>Published as S/ 3,350. Converted at 1 USD = S/ 3.385 (see METHODOLOGY).</t>
      </text>
    </comment>
  </commentList>
</comments>
</file>

<file path=xl/comments/comment2.xml><?xml version="1.0" encoding="utf-8"?>
<comments xmlns="http://schemas.openxmlformats.org/spreadsheetml/2006/main">
  <authors>
    <author>pipeline</author>
  </authors>
  <commentList>
    <comment ref="F7" authorId="0" shapeId="0">
      <text>
        <t>Published as S/ 2,600. Converted at 1 USD = S/ 3.385 (see METHODOLOGY).</t>
      </text>
    </comment>
    <comment ref="F8" authorId="0" shapeId="0">
      <text>
        <t>Published as S/ 2,450. Converted at 1 USD = S/ 3.385 (see METHODOLOGY).</t>
      </text>
    </comment>
    <comment ref="F10" authorId="0" shapeId="0">
      <text>
        <t>Published as S/ 2,150. Converted at 1 USD = S/ 3.385 (see METHODOLOGY).</t>
      </text>
    </comment>
    <comment ref="F13" authorId="0" shapeId="0">
      <text>
        <t>Published as S/ 2,250. Converted at 1 USD = S/ 3.385 (see METHODOLOGY).</t>
      </text>
    </comment>
    <comment ref="F15" authorId="0" shapeId="0">
      <text>
        <t>Published as S/ 2,750. Converted at 1 USD = S/ 3.385 (see METHODOLOGY).</t>
      </text>
    </comment>
    <comment ref="F16" authorId="0" shapeId="0">
      <text>
        <t>Published as S/ 2,650. Converted at 1 USD = S/ 3.385 (see METHODOLOGY).</t>
      </text>
    </comment>
    <comment ref="F17" authorId="0" shapeId="0">
      <text>
        <t>Published as S/ 2,650. Converted at 1 USD = S/ 3.385 (see METHODOLOGY).</t>
      </text>
    </comment>
    <comment ref="F19" authorId="0" shapeId="0">
      <text>
        <t>Published as S/ 2,900. Converted at 1 USD = S/ 3.385 (see METHODOLOGY).</t>
      </text>
    </comment>
    <comment ref="F21" authorId="0" shapeId="0">
      <text>
        <t>Published as S/ 3,000. Converted at 1 USD = S/ 3.385 (see METHODOLOGY).</t>
      </text>
    </comment>
    <comment ref="F22" authorId="0" shapeId="0">
      <text>
        <t>Published as S/ 2,700. Converted at 1 USD = S/ 3.385 (see METHODOLOGY).</t>
      </text>
    </comment>
    <comment ref="F23" authorId="0" shapeId="0">
      <text>
        <t>Published as S/ 3,250. Converted at 1 USD = S/ 3.385 (see METHODOLOGY).</t>
      </text>
    </comment>
    <comment ref="F24" authorId="0" shapeId="0">
      <text>
        <t>Published as S/ 2,750. Converted at 1 USD = S/ 3.385 (see METHODOLOGY).</t>
      </text>
    </comment>
    <comment ref="F25" authorId="0" shapeId="0">
      <text>
        <t>Published as S/ 2,850. Converted at 1 USD = S/ 3.385 (see METHODOLOGY).</t>
      </text>
    </comment>
    <comment ref="F26" authorId="0" shapeId="0">
      <text>
        <t>Published as S/ 3,300. Converted at 1 USD = S/ 3.385 (see METHODOLOGY).</t>
      </text>
    </comment>
    <comment ref="F28" authorId="0" shapeId="0">
      <text>
        <t>Published as S/ 2,300. Converted at 1 USD = S/ 3.385 (see METHODOLOGY).</t>
      </text>
    </comment>
    <comment ref="F30" authorId="0" shapeId="0">
      <text>
        <t>Published as S/ 3,350. Converted at 1 USD = S/ 3.385 (see METHODOLOGY).</t>
      </text>
    </comment>
  </commentList>
</comments>
</file>

<file path=xl/comments/comment3.xml><?xml version="1.0" encoding="utf-8"?>
<comments xmlns="http://schemas.openxmlformats.org/spreadsheetml/2006/main">
  <authors>
    <author>pipeline</author>
  </authors>
  <commentList>
    <comment ref="F5" authorId="0" shapeId="0">
      <text>
        <t>Published as S/ 3,600. Converted at 1 USD = S/ 3.385 (see METHODOLOGY).</t>
      </text>
    </comment>
    <comment ref="F7" authorId="0" shapeId="0">
      <text>
        <t>Published as S/ 3,600. Converted at 1 USD = S/ 3.385 (see METHODOLOGY).</t>
      </text>
    </comment>
    <comment ref="F9" authorId="0" shapeId="0">
      <text>
        <t>Published as S/ 3,550. Converted at 1 USD = S/ 3.385 (see METHODOLOGY).</t>
      </text>
    </comment>
    <comment ref="F11" authorId="0" shapeId="0">
      <text>
        <t>Published as S/ 3,450. Converted at 1 USD = S/ 3.385 (see METHODOLOGY).</t>
      </text>
    </comment>
    <comment ref="F12" authorId="0" shapeId="0">
      <text>
        <t>Published as S/ 3,550. Converted at 1 USD = S/ 3.385 (see METHODOLOGY).</t>
      </text>
    </comment>
    <comment ref="F13" authorId="0" shapeId="0">
      <text>
        <t>Published as S/ 3,500. Converted at 1 USD = S/ 3.385 (see METHODOLOGY).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ample.com/demo/adondevivir/1010" TargetMode="External" Id="rId1" /><Relationship Type="http://schemas.openxmlformats.org/officeDocument/2006/relationships/hyperlink" Target="https://www.google.com/maps/search/?api=1&amp;query=-12.107361,-77.038242" TargetMode="External" Id="rId2" /><Relationship Type="http://schemas.openxmlformats.org/officeDocument/2006/relationships/hyperlink" Target="https://example.com/demo/urbania/1001" TargetMode="External" Id="rId3" /><Relationship Type="http://schemas.openxmlformats.org/officeDocument/2006/relationships/hyperlink" Target="https://www.google.com/maps/search/?api=1&amp;query=-12.110958,-77.046751" TargetMode="External" Id="rId4" /><Relationship Type="http://schemas.openxmlformats.org/officeDocument/2006/relationships/hyperlink" Target="https://example.com/demo/adondevivir/1030.html" TargetMode="External" Id="rId5" /><Relationship Type="http://schemas.openxmlformats.org/officeDocument/2006/relationships/hyperlink" Target="https://www.google.com/maps/search/?api=1&amp;query=-12.118639,-77.044168" TargetMode="External" Id="rId6" /><Relationship Type="http://schemas.openxmlformats.org/officeDocument/2006/relationships/hyperlink" Target="https://example.com/demo/urbania/1023.html" TargetMode="External" Id="rId7" /><Relationship Type="http://schemas.openxmlformats.org/officeDocument/2006/relationships/hyperlink" Target="https://www.google.com/maps/search/?api=1&amp;query=-12.130803,-77.035289" TargetMode="External" Id="rId8" /><Relationship Type="http://schemas.openxmlformats.org/officeDocument/2006/relationships/hyperlink" Target="https://example.com/demo/urbania/1031" TargetMode="External" Id="rId9" /><Relationship Type="http://schemas.openxmlformats.org/officeDocument/2006/relationships/hyperlink" Target="https://www.google.com/maps/search/?api=1&amp;query=-12.127508,-77.045714" TargetMode="External" Id="rId10" /><Relationship Type="http://schemas.openxmlformats.org/officeDocument/2006/relationships/hyperlink" Target="https://example.com/demo/urbania/1011.html" TargetMode="External" Id="rId11" /><Relationship Type="http://schemas.openxmlformats.org/officeDocument/2006/relationships/hyperlink" Target="https://www.google.com/maps/search/?api=1&amp;query=-12.116287,-77.024685" TargetMode="External" Id="rId12" /><Relationship Type="http://schemas.openxmlformats.org/officeDocument/2006/relationships/hyperlink" Target="https://example.com/demo/urbania/1013" TargetMode="External" Id="rId13" /><Relationship Type="http://schemas.openxmlformats.org/officeDocument/2006/relationships/hyperlink" Target="https://www.google.com/maps/search/?api=1&amp;query=-12.131318,-77.027452" TargetMode="External" Id="rId14" /><Relationship Type="http://schemas.openxmlformats.org/officeDocument/2006/relationships/hyperlink" Target="https://example.com/demo/adondevivir/1004" TargetMode="External" Id="rId15" /><Relationship Type="http://schemas.openxmlformats.org/officeDocument/2006/relationships/hyperlink" Target="https://www.google.com/maps/search/?api=1&amp;query=-12.121697,-77.032041" TargetMode="External" Id="rId16" /><Relationship Type="http://schemas.openxmlformats.org/officeDocument/2006/relationships/hyperlink" Target="https://example.com/demo/adondevivir/1012.html" TargetMode="External" Id="rId17" /><Relationship Type="http://schemas.openxmlformats.org/officeDocument/2006/relationships/hyperlink" Target="https://www.google.com/maps/search/?api=1&amp;query=-12.124771,-77.041065" TargetMode="External" Id="rId18" /><Relationship Type="http://schemas.openxmlformats.org/officeDocument/2006/relationships/hyperlink" Target="https://example.com/demo/adondevivir/1028" TargetMode="External" Id="rId19" /><Relationship Type="http://schemas.openxmlformats.org/officeDocument/2006/relationships/hyperlink" Target="https://www.google.com/maps/search/?api=1&amp;query=-12.115723,-77.034908" TargetMode="External" Id="rId20" /><Relationship Type="http://schemas.openxmlformats.org/officeDocument/2006/relationships/hyperlink" Target="https://example.com/demo/urbania/1029.html" TargetMode="External" Id="rId21" /><Relationship Type="http://schemas.openxmlformats.org/officeDocument/2006/relationships/hyperlink" Target="https://www.google.com/maps/search/?api=1&amp;query=-12.112521,-77.046527" TargetMode="External" Id="rId22" /><Relationship Type="http://schemas.openxmlformats.org/officeDocument/2006/relationships/hyperlink" Target="https://example.com/demo/adondevivir/1002.html" TargetMode="External" Id="rId23" /><Relationship Type="http://schemas.openxmlformats.org/officeDocument/2006/relationships/hyperlink" Target="https://www.google.com/maps/search/?api=1&amp;query=-12.117181,-77.042835" TargetMode="External" Id="rId24" /><Relationship Type="http://schemas.openxmlformats.org/officeDocument/2006/relationships/hyperlink" Target="https://example.com/demo/urbania/1003.html" TargetMode="External" Id="rId25" /><Relationship Type="http://schemas.openxmlformats.org/officeDocument/2006/relationships/hyperlink" Target="https://www.google.com/maps/search/?api=1&amp;query=-12.127673,-77.046789" TargetMode="External" Id="rId26" /><Relationship Type="http://schemas.openxmlformats.org/officeDocument/2006/relationships/hyperlink" Target="https://example.com/demo/adondevivir/1016" TargetMode="External" Id="rId27" /><Relationship Type="http://schemas.openxmlformats.org/officeDocument/2006/relationships/hyperlink" Target="https://www.google.com/maps/search/?api=1&amp;query=-12.117762,-77.043899" TargetMode="External" Id="rId28" /><Relationship Type="http://schemas.openxmlformats.org/officeDocument/2006/relationships/hyperlink" Target="https://example.com/demo/adondevivir/1006.html" TargetMode="External" Id="rId29" /><Relationship Type="http://schemas.openxmlformats.org/officeDocument/2006/relationships/hyperlink" Target="https://www.google.com/maps/search/?api=1&amp;query=-12.119711,-77.030377" TargetMode="External" Id="rId30" /><Relationship Type="http://schemas.openxmlformats.org/officeDocument/2006/relationships/hyperlink" Target="https://example.com/demo/urbania/1007" TargetMode="External" Id="rId31" /><Relationship Type="http://schemas.openxmlformats.org/officeDocument/2006/relationships/hyperlink" Target="https://www.google.com/maps/search/?api=1&amp;query=-12.110139,-77.018611" TargetMode="External" Id="rId32" /><Relationship Type="http://schemas.openxmlformats.org/officeDocument/2006/relationships/hyperlink" Target="https://example.com/demo/urbania/1017.html" TargetMode="External" Id="rId33" /><Relationship Type="http://schemas.openxmlformats.org/officeDocument/2006/relationships/hyperlink" Target="https://www.google.com/maps/search/?api=1&amp;query=-12.128289,-77.044940" TargetMode="External" Id="rId34" /><Relationship Type="http://schemas.openxmlformats.org/officeDocument/2006/relationships/hyperlink" Target="https://example.com/demo/adondevivir/1032.html" TargetMode="External" Id="rId35" /><Relationship Type="http://schemas.openxmlformats.org/officeDocument/2006/relationships/hyperlink" Target="https://www.google.com/maps/search/?api=1&amp;query=-12.121657,-77.030689" TargetMode="External" Id="rId36" /><Relationship Type="http://schemas.openxmlformats.org/officeDocument/2006/relationships/hyperlink" Target="https://example.com/demo/adondevivir/1024.html" TargetMode="External" Id="rId37" /><Relationship Type="http://schemas.openxmlformats.org/officeDocument/2006/relationships/hyperlink" Target="https://www.google.com/maps/search/?api=1&amp;query=-12.106571,-77.037254" TargetMode="External" Id="rId38" /><Relationship Type="http://schemas.openxmlformats.org/officeDocument/2006/relationships/hyperlink" Target="https://example.com/demo/urbania/1021.html" TargetMode="External" Id="rId39" /><Relationship Type="http://schemas.openxmlformats.org/officeDocument/2006/relationships/hyperlink" Target="https://www.google.com/maps/search/?api=1&amp;query=-12.109984,-77.020297" TargetMode="External" Id="rId40" /><Relationship Type="http://schemas.openxmlformats.org/officeDocument/2006/relationships/hyperlink" Target="https://example.com/demo/urbania/1009.html" TargetMode="External" Id="rId41" /><Relationship Type="http://schemas.openxmlformats.org/officeDocument/2006/relationships/hyperlink" Target="https://www.google.com/maps/search/?api=1&amp;query=-12.130566,-77.035922" TargetMode="External" Id="rId42" /><Relationship Type="http://schemas.openxmlformats.org/officeDocument/2006/relationships/hyperlink" Target="https://example.com/demo/urbania/1015.html" TargetMode="External" Id="rId43" /><Relationship Type="http://schemas.openxmlformats.org/officeDocument/2006/relationships/hyperlink" Target="https://www.google.com/maps/search/?api=1&amp;query=-12.113006,-77.048195" TargetMode="External" Id="rId44" /><Relationship Type="http://schemas.openxmlformats.org/officeDocument/2006/relationships/hyperlink" Target="https://example.com/demo/urbania/1019" TargetMode="External" Id="rId45" /><Relationship Type="http://schemas.openxmlformats.org/officeDocument/2006/relationships/hyperlink" Target="https://www.google.com/maps/search/?api=1&amp;query=-12.122803,-77.030562" TargetMode="External" Id="rId46" /><Relationship Type="http://schemas.openxmlformats.org/officeDocument/2006/relationships/hyperlink" Target="https://example.com/demo/urbania/1005.html" TargetMode="External" Id="rId47" /><Relationship Type="http://schemas.openxmlformats.org/officeDocument/2006/relationships/hyperlink" Target="https://www.google.com/maps/search/?api=1&amp;query=-12.120507,-77.030441" TargetMode="External" Id="rId48" /><Relationship Type="http://schemas.openxmlformats.org/officeDocument/2006/relationships/hyperlink" Target="https://example.com/demo/adondevivir/1034" TargetMode="External" Id="rId49" /><Relationship Type="http://schemas.openxmlformats.org/officeDocument/2006/relationships/hyperlink" Target="https://www.google.com/maps/search/?api=1&amp;query=-12.120220,-77.029124" TargetMode="External" Id="rId50" /><Relationship Type="http://schemas.openxmlformats.org/officeDocument/2006/relationships/hyperlink" Target="https://example.com/demo/urbania/1033.html" TargetMode="External" Id="rId51" /><Relationship Type="http://schemas.openxmlformats.org/officeDocument/2006/relationships/hyperlink" Target="https://www.google.com/maps/search/?api=1&amp;query=-12.121806,-77.030062" TargetMode="External" Id="rId5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example.com/demo/adondevivir/1010" TargetMode="External" Id="rId1" /><Relationship Type="http://schemas.openxmlformats.org/officeDocument/2006/relationships/hyperlink" Target="https://www.google.com/maps/search/?api=1&amp;query=-12.107361,-77.038242" TargetMode="External" Id="rId2" /><Relationship Type="http://schemas.openxmlformats.org/officeDocument/2006/relationships/hyperlink" Target="https://example.com/demo/urbania/1001" TargetMode="External" Id="rId3" /><Relationship Type="http://schemas.openxmlformats.org/officeDocument/2006/relationships/hyperlink" Target="https://www.google.com/maps/search/?api=1&amp;query=-12.110958,-77.046751" TargetMode="External" Id="rId4" /><Relationship Type="http://schemas.openxmlformats.org/officeDocument/2006/relationships/hyperlink" Target="https://example.com/demo/adondevivir/1030.html" TargetMode="External" Id="rId5" /><Relationship Type="http://schemas.openxmlformats.org/officeDocument/2006/relationships/hyperlink" Target="https://www.google.com/maps/search/?api=1&amp;query=-12.118639,-77.044168" TargetMode="External" Id="rId6" /><Relationship Type="http://schemas.openxmlformats.org/officeDocument/2006/relationships/hyperlink" Target="https://example.com/demo/urbania/1023.html" TargetMode="External" Id="rId7" /><Relationship Type="http://schemas.openxmlformats.org/officeDocument/2006/relationships/hyperlink" Target="https://www.google.com/maps/search/?api=1&amp;query=-12.130803,-77.035289" TargetMode="External" Id="rId8" /><Relationship Type="http://schemas.openxmlformats.org/officeDocument/2006/relationships/hyperlink" Target="https://example.com/demo/urbania/1031" TargetMode="External" Id="rId9" /><Relationship Type="http://schemas.openxmlformats.org/officeDocument/2006/relationships/hyperlink" Target="https://www.google.com/maps/search/?api=1&amp;query=-12.127508,-77.045714" TargetMode="External" Id="rId10" /><Relationship Type="http://schemas.openxmlformats.org/officeDocument/2006/relationships/hyperlink" Target="https://example.com/demo/urbania/1011.html" TargetMode="External" Id="rId11" /><Relationship Type="http://schemas.openxmlformats.org/officeDocument/2006/relationships/hyperlink" Target="https://www.google.com/maps/search/?api=1&amp;query=-12.116287,-77.024685" TargetMode="External" Id="rId12" /><Relationship Type="http://schemas.openxmlformats.org/officeDocument/2006/relationships/hyperlink" Target="https://example.com/demo/urbania/1013" TargetMode="External" Id="rId13" /><Relationship Type="http://schemas.openxmlformats.org/officeDocument/2006/relationships/hyperlink" Target="https://www.google.com/maps/search/?api=1&amp;query=-12.131318,-77.027452" TargetMode="External" Id="rId14" /><Relationship Type="http://schemas.openxmlformats.org/officeDocument/2006/relationships/hyperlink" Target="https://example.com/demo/adondevivir/1004" TargetMode="External" Id="rId15" /><Relationship Type="http://schemas.openxmlformats.org/officeDocument/2006/relationships/hyperlink" Target="https://www.google.com/maps/search/?api=1&amp;query=-12.121697,-77.032041" TargetMode="External" Id="rId16" /><Relationship Type="http://schemas.openxmlformats.org/officeDocument/2006/relationships/hyperlink" Target="https://example.com/demo/adondevivir/1012.html" TargetMode="External" Id="rId17" /><Relationship Type="http://schemas.openxmlformats.org/officeDocument/2006/relationships/hyperlink" Target="https://www.google.com/maps/search/?api=1&amp;query=-12.124771,-77.041065" TargetMode="External" Id="rId18" /><Relationship Type="http://schemas.openxmlformats.org/officeDocument/2006/relationships/hyperlink" Target="https://example.com/demo/adondevivir/1028" TargetMode="External" Id="rId19" /><Relationship Type="http://schemas.openxmlformats.org/officeDocument/2006/relationships/hyperlink" Target="https://www.google.com/maps/search/?api=1&amp;query=-12.115723,-77.034908" TargetMode="External" Id="rId20" /><Relationship Type="http://schemas.openxmlformats.org/officeDocument/2006/relationships/hyperlink" Target="https://example.com/demo/urbania/1029.html" TargetMode="External" Id="rId21" /><Relationship Type="http://schemas.openxmlformats.org/officeDocument/2006/relationships/hyperlink" Target="https://www.google.com/maps/search/?api=1&amp;query=-12.112521,-77.046527" TargetMode="External" Id="rId22" /><Relationship Type="http://schemas.openxmlformats.org/officeDocument/2006/relationships/hyperlink" Target="https://example.com/demo/adondevivir/1002.html" TargetMode="External" Id="rId23" /><Relationship Type="http://schemas.openxmlformats.org/officeDocument/2006/relationships/hyperlink" Target="https://www.google.com/maps/search/?api=1&amp;query=-12.117181,-77.042835" TargetMode="External" Id="rId24" /><Relationship Type="http://schemas.openxmlformats.org/officeDocument/2006/relationships/hyperlink" Target="https://example.com/demo/urbania/1003.html" TargetMode="External" Id="rId25" /><Relationship Type="http://schemas.openxmlformats.org/officeDocument/2006/relationships/hyperlink" Target="https://www.google.com/maps/search/?api=1&amp;query=-12.127673,-77.046789" TargetMode="External" Id="rId26" /><Relationship Type="http://schemas.openxmlformats.org/officeDocument/2006/relationships/hyperlink" Target="https://example.com/demo/adondevivir/1016" TargetMode="External" Id="rId27" /><Relationship Type="http://schemas.openxmlformats.org/officeDocument/2006/relationships/hyperlink" Target="https://www.google.com/maps/search/?api=1&amp;query=-12.117762,-77.043899" TargetMode="External" Id="rId28" /><Relationship Type="http://schemas.openxmlformats.org/officeDocument/2006/relationships/hyperlink" Target="https://example.com/demo/adondevivir/1006.html" TargetMode="External" Id="rId29" /><Relationship Type="http://schemas.openxmlformats.org/officeDocument/2006/relationships/hyperlink" Target="https://www.google.com/maps/search/?api=1&amp;query=-12.119711,-77.030377" TargetMode="External" Id="rId30" /><Relationship Type="http://schemas.openxmlformats.org/officeDocument/2006/relationships/hyperlink" Target="https://example.com/demo/urbania/1007" TargetMode="External" Id="rId31" /><Relationship Type="http://schemas.openxmlformats.org/officeDocument/2006/relationships/hyperlink" Target="https://www.google.com/maps/search/?api=1&amp;query=-12.110139,-77.018611" TargetMode="External" Id="rId32" /><Relationship Type="http://schemas.openxmlformats.org/officeDocument/2006/relationships/hyperlink" Target="https://example.com/demo/urbania/1017.html" TargetMode="External" Id="rId33" /><Relationship Type="http://schemas.openxmlformats.org/officeDocument/2006/relationships/hyperlink" Target="https://www.google.com/maps/search/?api=1&amp;query=-12.128289,-77.044940" TargetMode="External" Id="rId34" /><Relationship Type="http://schemas.openxmlformats.org/officeDocument/2006/relationships/hyperlink" Target="https://example.com/demo/adondevivir/1032.html" TargetMode="External" Id="rId35" /><Relationship Type="http://schemas.openxmlformats.org/officeDocument/2006/relationships/hyperlink" Target="https://www.google.com/maps/search/?api=1&amp;query=-12.121657,-77.030689" TargetMode="External" Id="rId36" /><Relationship Type="http://schemas.openxmlformats.org/officeDocument/2006/relationships/hyperlink" Target="https://example.com/demo/adondevivir/1024.html" TargetMode="External" Id="rId37" /><Relationship Type="http://schemas.openxmlformats.org/officeDocument/2006/relationships/hyperlink" Target="https://www.google.com/maps/search/?api=1&amp;query=-12.106571,-77.037254" TargetMode="External" Id="rId38" /><Relationship Type="http://schemas.openxmlformats.org/officeDocument/2006/relationships/hyperlink" Target="https://example.com/demo/urbania/1021.html" TargetMode="External" Id="rId39" /><Relationship Type="http://schemas.openxmlformats.org/officeDocument/2006/relationships/hyperlink" Target="https://www.google.com/maps/search/?api=1&amp;query=-12.109984,-77.020297" TargetMode="External" Id="rId40" /><Relationship Type="http://schemas.openxmlformats.org/officeDocument/2006/relationships/hyperlink" Target="https://example.com/demo/urbania/1009.html" TargetMode="External" Id="rId41" /><Relationship Type="http://schemas.openxmlformats.org/officeDocument/2006/relationships/hyperlink" Target="https://www.google.com/maps/search/?api=1&amp;query=-12.130566,-77.035922" TargetMode="External" Id="rId42" /><Relationship Type="http://schemas.openxmlformats.org/officeDocument/2006/relationships/hyperlink" Target="https://example.com/demo/urbania/1015.html" TargetMode="External" Id="rId43" /><Relationship Type="http://schemas.openxmlformats.org/officeDocument/2006/relationships/hyperlink" Target="https://www.google.com/maps/search/?api=1&amp;query=-12.113006,-77.048195" TargetMode="External" Id="rId44" /><Relationship Type="http://schemas.openxmlformats.org/officeDocument/2006/relationships/hyperlink" Target="https://example.com/demo/urbania/1019" TargetMode="External" Id="rId45" /><Relationship Type="http://schemas.openxmlformats.org/officeDocument/2006/relationships/hyperlink" Target="https://www.google.com/maps/search/?api=1&amp;query=-12.122803,-77.030562" TargetMode="External" Id="rId46" /><Relationship Type="http://schemas.openxmlformats.org/officeDocument/2006/relationships/hyperlink" Target="https://example.com/demo/urbania/1005.html" TargetMode="External" Id="rId47" /><Relationship Type="http://schemas.openxmlformats.org/officeDocument/2006/relationships/hyperlink" Target="https://www.google.com/maps/search/?api=1&amp;query=-12.120507,-77.030441" TargetMode="External" Id="rId48" /><Relationship Type="http://schemas.openxmlformats.org/officeDocument/2006/relationships/hyperlink" Target="https://example.com/demo/adondevivir/1034" TargetMode="External" Id="rId49" /><Relationship Type="http://schemas.openxmlformats.org/officeDocument/2006/relationships/hyperlink" Target="https://www.google.com/maps/search/?api=1&amp;query=-12.120220,-77.029124" TargetMode="External" Id="rId50" /><Relationship Type="http://schemas.openxmlformats.org/officeDocument/2006/relationships/hyperlink" Target="https://example.com/demo/urbania/1033.html" TargetMode="External" Id="rId51" /><Relationship Type="http://schemas.openxmlformats.org/officeDocument/2006/relationships/hyperlink" Target="https://www.google.com/maps/search/?api=1&amp;query=-12.121806,-77.030062" TargetMode="External" Id="rId5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example.com/demo/adondevivir/1026.html" TargetMode="External" Id="rId1" /><Relationship Type="http://schemas.openxmlformats.org/officeDocument/2006/relationships/hyperlink" Target="https://www.google.com/maps/search/?api=1&amp;query=-12.122599,-77.041530" TargetMode="External" Id="rId2" /><Relationship Type="http://schemas.openxmlformats.org/officeDocument/2006/relationships/hyperlink" Target="https://example.com/demo/urbania/9004" TargetMode="External" Id="rId3" /><Relationship Type="http://schemas.openxmlformats.org/officeDocument/2006/relationships/hyperlink" Target="https://www.google.com/maps/search/?api=1&amp;query=-12.131000,-77.040000" TargetMode="External" Id="rId4" /><Relationship Type="http://schemas.openxmlformats.org/officeDocument/2006/relationships/hyperlink" Target="https://example.com/demo/urbania/1027.html" TargetMode="External" Id="rId5" /><Relationship Type="http://schemas.openxmlformats.org/officeDocument/2006/relationships/hyperlink" Target="https://www.google.com/maps/search/?api=1&amp;query=-12.131175,-77.028157" TargetMode="External" Id="rId6" /><Relationship Type="http://schemas.openxmlformats.org/officeDocument/2006/relationships/hyperlink" Target="https://example.com/demo/urbania/1025" TargetMode="External" Id="rId7" /><Relationship Type="http://schemas.openxmlformats.org/officeDocument/2006/relationships/hyperlink" Target="https://www.google.com/maps/search/?api=1&amp;query=-12.113883,-77.024139" TargetMode="External" Id="rId8" /><Relationship Type="http://schemas.openxmlformats.org/officeDocument/2006/relationships/hyperlink" Target="https://example.com/demo/adondevivir/1014.html" TargetMode="External" Id="rId9" /><Relationship Type="http://schemas.openxmlformats.org/officeDocument/2006/relationships/hyperlink" Target="https://www.google.com/maps/search/?api=1&amp;query=-12.118348,-77.033802" TargetMode="External" Id="rId10" /><Relationship Type="http://schemas.openxmlformats.org/officeDocument/2006/relationships/hyperlink" Target="https://example.com/demo/adondevivir/1022" TargetMode="External" Id="rId11" /><Relationship Type="http://schemas.openxmlformats.org/officeDocument/2006/relationships/hyperlink" Target="https://www.google.com/maps/search/?api=1&amp;query=-12.125383,-77.019654" TargetMode="External" Id="rId12" /><Relationship Type="http://schemas.openxmlformats.org/officeDocument/2006/relationships/hyperlink" Target="https://example.com/demo/adondevivir/1008.html" TargetMode="External" Id="rId13" /><Relationship Type="http://schemas.openxmlformats.org/officeDocument/2006/relationships/hyperlink" Target="https://www.google.com/maps/search/?api=1&amp;query=-12.125703,-77.019827" TargetMode="External" Id="rId14" /><Relationship Type="http://schemas.openxmlformats.org/officeDocument/2006/relationships/hyperlink" Target="https://example.com/demo/adondevivir/1018.html" TargetMode="External" Id="rId15" /><Relationship Type="http://schemas.openxmlformats.org/officeDocument/2006/relationships/hyperlink" Target="https://www.google.com/maps/search/?api=1&amp;query=-12.122184,-77.031250" TargetMode="External" Id="rId16" /><Relationship Type="http://schemas.openxmlformats.org/officeDocument/2006/relationships/hyperlink" Target="https://example.com/demo/adondevivir/1020.html" TargetMode="External" Id="rId17" /><Relationship Type="http://schemas.openxmlformats.org/officeDocument/2006/relationships/hyperlink" Target="https://www.google.com/maps/search/?api=1&amp;query=-12.118705,-77.031051" TargetMode="External" Id="rId1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ttps://example.com/demo/urbania/9005" TargetMode="External" Id="rId1" /><Relationship Type="http://schemas.openxmlformats.org/officeDocument/2006/relationships/hyperlink" Target="https://www.google.com/maps/search/?api=1&amp;query=-12.118000,-77.008500" TargetMode="External" Id="rId2" /></Relationships>
</file>

<file path=xl/worksheets/_rels/sheet7.xml.rels><Relationships xmlns="http://schemas.openxmlformats.org/package/2006/relationships"><Relationship Type="http://schemas.openxmlformats.org/officeDocument/2006/relationships/hyperlink" Target="https://example.com/demo/adondevivir/1010" TargetMode="External" Id="rId1" /><Relationship Type="http://schemas.openxmlformats.org/officeDocument/2006/relationships/hyperlink" Target="https://example.com/demo/urbania/1001" TargetMode="External" Id="rId2" /><Relationship Type="http://schemas.openxmlformats.org/officeDocument/2006/relationships/hyperlink" Target="https://example.com/demo/adondevivir/1030.html" TargetMode="External" Id="rId3" /><Relationship Type="http://schemas.openxmlformats.org/officeDocument/2006/relationships/hyperlink" Target="https://example.com/demo/urbania/1023.html" TargetMode="External" Id="rId4" /><Relationship Type="http://schemas.openxmlformats.org/officeDocument/2006/relationships/hyperlink" Target="https://example.com/demo/urbania/1031" TargetMode="External" Id="rId5" /><Relationship Type="http://schemas.openxmlformats.org/officeDocument/2006/relationships/hyperlink" Target="https://example.com/demo/urbania/1011.html" TargetMode="External" Id="rId6" /><Relationship Type="http://schemas.openxmlformats.org/officeDocument/2006/relationships/hyperlink" Target="https://example.com/demo/urbania/1013" TargetMode="External" Id="rId7" /><Relationship Type="http://schemas.openxmlformats.org/officeDocument/2006/relationships/hyperlink" Target="https://example.com/demo/adondevivir/1004" TargetMode="External" Id="rId8" /><Relationship Type="http://schemas.openxmlformats.org/officeDocument/2006/relationships/hyperlink" Target="https://example.com/demo/adondevivir/1012.html" TargetMode="External" Id="rId9" /><Relationship Type="http://schemas.openxmlformats.org/officeDocument/2006/relationships/hyperlink" Target="https://example.com/demo/adondevivir/1028" TargetMode="External" Id="rId10" /></Relationships>
</file>

<file path=xl/worksheets/sheet1.xml><?xml version="1.0" encoding="utf-8"?>
<worksheet xmlns="http://schemas.openxmlformats.org/spreadsheetml/2006/main">
  <sheetPr>
    <outlinePr summaryBelow="1" summaryRight="1"/>
    <pageSetUpPr/>
  </sheetPr>
  <dimension ref="A1:Y30"/>
  <sheetViews>
    <sheetView zoomScale="10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6" customWidth="1" min="2" max="2"/>
    <col width="7" customWidth="1" min="3" max="3"/>
    <col width="34" customWidth="1" min="4" max="4"/>
    <col width="11" customWidth="1" min="5" max="5"/>
    <col width="16" customWidth="1" min="6" max="6"/>
    <col width="11" customWidth="1" min="7" max="7"/>
    <col width="8" customWidth="1" min="8" max="8"/>
    <col width="8" customWidth="1" min="9" max="9"/>
    <col width="8" customWidth="1" min="10" max="10"/>
    <col width="10" customWidth="1" min="11" max="11"/>
    <col width="9" customWidth="1" min="12" max="12"/>
    <col width="7" customWidth="1" min="13" max="13"/>
    <col width="14" customWidth="1" min="14" max="14"/>
    <col width="9" customWidth="1" min="15" max="15"/>
    <col width="34" customWidth="1" min="16" max="16"/>
    <col width="12" customWidth="1" min="17" max="17"/>
    <col width="14" customWidth="1" min="18" max="18"/>
    <col width="40" customWidth="1" min="19" max="19"/>
    <col width="36" customWidth="1" min="20" max="20"/>
    <col width="14" customWidth="1" min="21" max="21"/>
    <col width="12" customWidth="1" min="22" max="22"/>
    <col width="14" customWidth="1" min="23" max="23"/>
    <col width="10" customWidth="1" min="24" max="24"/>
    <col width="18" customWidth="1" min="25" max="25"/>
  </cols>
  <sheetData>
    <row r="1">
      <c r="A1" s="1" t="inlineStr">
        <is>
          <t>Miraflores rental shortlist — Top 10 and strong alternatives</t>
        </is>
      </c>
    </row>
    <row r="2">
      <c r="A2" s="2" t="inlineStr">
        <is>
          <t>Generated 2026-09-24T17:45:06-05:00 · FX 1 USD = S/ 3.385 (fallback) · Budget-compliant (rent ≤ USD 1,000), 1–2 bedrooms, inside Miraflores. Availability as checked at the QA timestamp; not guaranteed.</t>
        </is>
      </c>
    </row>
    <row r="3">
      <c r="A3" s="3" t="inlineStr">
        <is>
          <t>SYNTHETIC DEMO DATA — FORMAT PREVIEW ONLY — THESE ARE NOT REAL LISTINGS</t>
        </is>
      </c>
    </row>
    <row r="4" ht="30" customHeight="1">
      <c r="A4" s="4" t="inlineStr">
        <is>
          <t>Tier</t>
        </is>
      </c>
      <c r="B4" s="4" t="inlineStr">
        <is>
          <t>Rank</t>
        </is>
      </c>
      <c r="C4" s="4" t="inlineStr">
        <is>
          <t>Fit Score</t>
        </is>
      </c>
      <c r="D4" s="4" t="inlineStr">
        <is>
          <t>Property</t>
        </is>
      </c>
      <c r="E4" s="4" t="inlineStr">
        <is>
          <t>Monthly Rent USD</t>
        </is>
      </c>
      <c r="F4" s="4" t="inlineStr">
        <is>
          <t>Maintenance</t>
        </is>
      </c>
      <c r="G4" s="4" t="inlineStr">
        <is>
          <t>Estimated Total USD</t>
        </is>
      </c>
      <c r="H4" s="4" t="inlineStr">
        <is>
          <t>Bedrooms</t>
        </is>
      </c>
      <c r="I4" s="4" t="inlineStr">
        <is>
          <t>Area m²</t>
        </is>
      </c>
      <c r="J4" s="4" t="inlineStr">
        <is>
          <t>USD/m²</t>
        </is>
      </c>
      <c r="K4" s="4" t="inlineStr">
        <is>
          <t>Furnished</t>
        </is>
      </c>
      <c r="L4" s="4" t="inlineStr">
        <is>
          <t>Parking</t>
        </is>
      </c>
      <c r="M4" s="4" t="inlineStr">
        <is>
          <t>Floor</t>
        </is>
      </c>
      <c r="N4" s="4" t="inlineStr">
        <is>
          <t>Noise Risk</t>
        </is>
      </c>
      <c r="O4" s="4" t="inlineStr">
        <is>
          <t>Quietness Score</t>
        </is>
      </c>
      <c r="P4" s="4" t="inlineStr">
        <is>
          <t>Location</t>
        </is>
      </c>
      <c r="Q4" s="4" t="inlineStr">
        <is>
          <t>Contract</t>
        </is>
      </c>
      <c r="R4" s="4" t="inlineStr">
        <is>
          <t>Deposit</t>
        </is>
      </c>
      <c r="S4" s="4" t="inlineStr">
        <is>
          <t>Main Advantage</t>
        </is>
      </c>
      <c r="T4" s="4" t="inlineStr">
        <is>
          <t>Main Drawback</t>
        </is>
      </c>
      <c r="U4" s="4" t="inlineStr">
        <is>
          <t>Source</t>
        </is>
      </c>
      <c r="V4" s="4" t="inlineStr">
        <is>
          <t>View Listing</t>
        </is>
      </c>
      <c r="W4" s="4" t="inlineStr">
        <is>
          <t>WhatsApp</t>
        </is>
      </c>
      <c r="X4" s="4" t="inlineStr">
        <is>
          <t>Map</t>
        </is>
      </c>
      <c r="Y4" s="4" t="inlineStr">
        <is>
          <t>QA Status</t>
        </is>
      </c>
    </row>
    <row r="5">
      <c r="A5" s="5" t="inlineStr">
        <is>
          <t>TOP 10</t>
        </is>
      </c>
      <c r="B5" s="6" t="n">
        <v>1</v>
      </c>
      <c r="C5" s="7" t="n">
        <v>79.8</v>
      </c>
      <c r="D5" s="8" t="inlineStr">
        <is>
          <t>2BR · 72 m² — Calle Ejemplo 109 (DEMO)</t>
        </is>
      </c>
      <c r="E5" s="9" t="n">
        <v>860</v>
      </c>
      <c r="F5" s="5" t="inlineStr">
        <is>
          <t>S/ 250 (≈ USD 74)</t>
        </is>
      </c>
      <c r="G5" s="9" t="n">
        <v>933.86</v>
      </c>
      <c r="H5" s="6" t="n">
        <v>2</v>
      </c>
      <c r="I5" s="6" t="n">
        <v>72</v>
      </c>
      <c r="J5" s="7" t="n">
        <v>11.94</v>
      </c>
      <c r="K5" s="5" t="inlineStr">
        <is>
          <t>Semi</t>
        </is>
      </c>
      <c r="L5" s="5" t="inlineStr">
        <is>
          <t>UNKNOWN</t>
        </is>
      </c>
      <c r="M5" s="5" t="inlineStr">
        <is>
          <t>UNKNOWN</t>
        </is>
      </c>
      <c r="N5" s="5" t="inlineStr">
        <is>
          <t>LOW · conf. high</t>
        </is>
      </c>
      <c r="O5" s="6" t="n">
        <v>97</v>
      </c>
      <c r="P5" s="8" t="inlineStr">
        <is>
          <t>Calle Ejemplo 109 (DEMO) · supermarket 349 m, pharmacy 351 m</t>
        </is>
      </c>
      <c r="Q5" s="5" t="inlineStr">
        <is>
          <t>12 months min.</t>
        </is>
      </c>
      <c r="R5" s="8" t="inlineStr">
        <is>
          <t>2 months deposit; 1 in advance</t>
        </is>
      </c>
      <c r="S5" s="8" t="inlineStr">
        <is>
          <t>72 m² built area — good for a 2-bedroom; low estimated noise (97/100); interior-facing</t>
        </is>
      </c>
      <c r="T5" s="8" t="inlineStr">
        <is>
          <t>no major drawback identified from listing data</t>
        </is>
      </c>
      <c r="U5" s="5" t="inlineStr">
        <is>
          <t>Adondevivir</t>
        </is>
      </c>
      <c r="V5" s="10" t="inlineStr">
        <is>
          <t>View listing</t>
        </is>
      </c>
      <c r="W5" s="5" t="inlineStr">
        <is>
          <t>—</t>
        </is>
      </c>
      <c r="X5" s="10" t="inlineStr">
        <is>
          <t>Open map</t>
        </is>
      </c>
      <c r="Y5" s="5" t="inlineStr">
        <is>
          <t>PROGRAMMATIC_PASS</t>
        </is>
      </c>
    </row>
    <row r="6">
      <c r="A6" s="5" t="inlineStr">
        <is>
          <t>TOP 10</t>
        </is>
      </c>
      <c r="B6" s="6" t="n">
        <v>2</v>
      </c>
      <c r="C6" s="7" t="n">
        <v>77.3</v>
      </c>
      <c r="D6" s="8" t="inlineStr">
        <is>
          <t>1BR · 58 m² — Calle Ejemplo 100 (DEMO)</t>
        </is>
      </c>
      <c r="E6" s="9" t="n">
        <v>870</v>
      </c>
      <c r="F6" s="5" t="inlineStr">
        <is>
          <t>S/ 420 (≈ USD 124)</t>
        </is>
      </c>
      <c r="G6" s="9" t="n">
        <v>994.08</v>
      </c>
      <c r="H6" s="6" t="n">
        <v>1</v>
      </c>
      <c r="I6" s="6" t="n">
        <v>58</v>
      </c>
      <c r="J6" s="7" t="n">
        <v>15</v>
      </c>
      <c r="K6" s="5" t="inlineStr">
        <is>
          <t>Yes</t>
        </is>
      </c>
      <c r="L6" s="5" t="inlineStr">
        <is>
          <t>UNKNOWN</t>
        </is>
      </c>
      <c r="M6" s="5" t="n">
        <v>9</v>
      </c>
      <c r="N6" s="5" t="inlineStr">
        <is>
          <t>LOW · conf. medium</t>
        </is>
      </c>
      <c r="O6" s="6" t="n">
        <v>75</v>
      </c>
      <c r="P6" s="8" t="inlineStr">
        <is>
          <t>Calle Ejemplo 100 (DEMO) · park 0 m, Malecón 408 m</t>
        </is>
      </c>
      <c r="Q6" s="5" t="inlineStr">
        <is>
          <t>UNKNOWN</t>
        </is>
      </c>
      <c r="R6" s="5" t="inlineStr">
        <is>
          <t>UNKNOWN</t>
        </is>
      </c>
      <c r="S6" s="8" t="inlineStr">
        <is>
          <t>58 m² built area — good for a 1-bedroom; low estimated noise (75/100); USD 15.0/m² (good value vs other 1BR in sample)</t>
        </is>
      </c>
      <c r="T6" s="8" t="inlineStr">
        <is>
          <t>no major drawback identified from listing data</t>
        </is>
      </c>
      <c r="U6" s="8" t="inlineStr">
        <is>
          <t>Adondevivir + Urbania</t>
        </is>
      </c>
      <c r="V6" s="10" t="inlineStr">
        <is>
          <t>View listing</t>
        </is>
      </c>
      <c r="W6" s="5" t="inlineStr">
        <is>
          <t>—</t>
        </is>
      </c>
      <c r="X6" s="10" t="inlineStr">
        <is>
          <t>Open map</t>
        </is>
      </c>
      <c r="Y6" s="5" t="inlineStr">
        <is>
          <t>PROGRAMMATIC_PASS</t>
        </is>
      </c>
    </row>
    <row r="7">
      <c r="A7" s="5" t="inlineStr">
        <is>
          <t>TOP 10</t>
        </is>
      </c>
      <c r="B7" s="6" t="n">
        <v>3</v>
      </c>
      <c r="C7" s="7" t="n">
        <v>74.7</v>
      </c>
      <c r="D7" s="8" t="inlineStr">
        <is>
          <t>2BR · 80 m² — Av. Ejemplo 229 (DEMO)</t>
        </is>
      </c>
      <c r="E7" s="9" t="n">
        <v>768.09</v>
      </c>
      <c r="F7" s="5" t="inlineStr">
        <is>
          <t>S/ 420 (≈ USD 124)</t>
        </is>
      </c>
      <c r="G7" s="9" t="n">
        <v>892.17</v>
      </c>
      <c r="H7" s="6" t="n">
        <v>2</v>
      </c>
      <c r="I7" s="6" t="n">
        <v>80</v>
      </c>
      <c r="J7" s="7" t="n">
        <v>9.6</v>
      </c>
      <c r="K7" s="5" t="inlineStr">
        <is>
          <t>Yes</t>
        </is>
      </c>
      <c r="L7" s="5" t="inlineStr">
        <is>
          <t>No</t>
        </is>
      </c>
      <c r="M7" s="5" t="inlineStr">
        <is>
          <t>UNKNOWN</t>
        </is>
      </c>
      <c r="N7" s="5" t="inlineStr">
        <is>
          <t>LOW · conf. high</t>
        </is>
      </c>
      <c r="O7" s="6" t="n">
        <v>72</v>
      </c>
      <c r="P7" s="8" t="inlineStr">
        <is>
          <t>Av. Ejemplo 229 (DEMO) · Malecón 689 m</t>
        </is>
      </c>
      <c r="Q7" s="5" t="inlineStr">
        <is>
          <t>12 months min.</t>
        </is>
      </c>
      <c r="R7" s="5" t="inlineStr">
        <is>
          <t>2 months deposit</t>
        </is>
      </c>
      <c r="S7" s="8" t="inlineStr">
        <is>
          <t>80 m² built area — good for a 2-bedroom; low estimated noise (72/100); USD 9.6/m² (excellent value vs other 2BR in sample)</t>
        </is>
      </c>
      <c r="T7" s="8" t="inlineStr">
        <is>
          <t>no direct phone/WhatsApp — contact via portal</t>
        </is>
      </c>
      <c r="U7" s="5" t="inlineStr">
        <is>
          <t>Adondevivir</t>
        </is>
      </c>
      <c r="V7" s="10" t="inlineStr">
        <is>
          <t>View listing</t>
        </is>
      </c>
      <c r="W7" s="5" t="inlineStr">
        <is>
          <t>—</t>
        </is>
      </c>
      <c r="X7" s="10" t="inlineStr">
        <is>
          <t>Open map</t>
        </is>
      </c>
      <c r="Y7" s="5" t="inlineStr">
        <is>
          <t>PROGRAMMATIC_PASS</t>
        </is>
      </c>
    </row>
    <row r="8">
      <c r="A8" s="5" t="inlineStr">
        <is>
          <t>TOP 10</t>
        </is>
      </c>
      <c r="B8" s="6" t="n">
        <v>4</v>
      </c>
      <c r="C8" s="7" t="n">
        <v>72.8</v>
      </c>
      <c r="D8" s="8" t="inlineStr">
        <is>
          <t>1BR · 63 m² — Av. Ejemplo 222 (DEMO)</t>
        </is>
      </c>
      <c r="E8" s="9" t="n">
        <v>723.78</v>
      </c>
      <c r="F8" s="5" t="inlineStr">
        <is>
          <t>S/ 300 (≈ USD 89)</t>
        </is>
      </c>
      <c r="G8" s="9" t="n">
        <v>812.41</v>
      </c>
      <c r="H8" s="6" t="n">
        <v>1</v>
      </c>
      <c r="I8" s="6" t="n">
        <v>63</v>
      </c>
      <c r="J8" s="7" t="n">
        <v>11.49</v>
      </c>
      <c r="K8" s="5" t="inlineStr">
        <is>
          <t>Yes</t>
        </is>
      </c>
      <c r="L8" s="5" t="inlineStr">
        <is>
          <t>No</t>
        </is>
      </c>
      <c r="M8" s="5" t="inlineStr">
        <is>
          <t>UNKNOWN</t>
        </is>
      </c>
      <c r="N8" s="8" t="inlineStr">
        <is>
          <t>MEDIUM · conf. high</t>
        </is>
      </c>
      <c r="O8" s="6" t="n">
        <v>60</v>
      </c>
      <c r="P8" s="8" t="inlineStr">
        <is>
          <t>Av. Ejemplo 222 (DEMO)</t>
        </is>
      </c>
      <c r="Q8" s="5" t="inlineStr">
        <is>
          <t>UNKNOWN</t>
        </is>
      </c>
      <c r="R8" s="5" t="inlineStr">
        <is>
          <t>UNKNOWN</t>
        </is>
      </c>
      <c r="S8" s="8" t="inlineStr">
        <is>
          <t>63 m² built area — very spacious for a 1-bedroom; USD 11.5/m² (excellent value vs other 1BR in sample); all-in ≈ USD 812/month</t>
        </is>
      </c>
      <c r="T8" s="8" t="inlineStr">
        <is>
          <t>listing says the unit faces an avenue</t>
        </is>
      </c>
      <c r="U8" s="5" t="inlineStr">
        <is>
          <t>Urbania</t>
        </is>
      </c>
      <c r="V8" s="10" t="inlineStr">
        <is>
          <t>View listing</t>
        </is>
      </c>
      <c r="W8" s="5" t="inlineStr">
        <is>
          <t>—</t>
        </is>
      </c>
      <c r="X8" s="10" t="inlineStr">
        <is>
          <t>Open map</t>
        </is>
      </c>
      <c r="Y8" s="5" t="inlineStr">
        <is>
          <t>PROGRAMMATIC_PASS</t>
        </is>
      </c>
    </row>
    <row r="9">
      <c r="A9" s="5" t="inlineStr">
        <is>
          <t>TOP 10</t>
        </is>
      </c>
      <c r="B9" s="6" t="n">
        <v>5</v>
      </c>
      <c r="C9" s="7" t="n">
        <v>71.59999999999999</v>
      </c>
      <c r="D9" s="8" t="inlineStr">
        <is>
          <t>1BR · 61 m² — Calle Ejemplo 130 (DEMO)</t>
        </is>
      </c>
      <c r="E9" s="9" t="n">
        <v>970</v>
      </c>
      <c r="F9" s="5" t="inlineStr">
        <is>
          <t>UNKNOWN</t>
        </is>
      </c>
      <c r="G9" s="5" t="inlineStr">
        <is>
          <t>UNKNOWN</t>
        </is>
      </c>
      <c r="H9" s="6" t="n">
        <v>1</v>
      </c>
      <c r="I9" s="6" t="n">
        <v>61</v>
      </c>
      <c r="J9" s="7" t="n">
        <v>15.9</v>
      </c>
      <c r="K9" s="5" t="inlineStr">
        <is>
          <t>No</t>
        </is>
      </c>
      <c r="L9" s="5" t="inlineStr">
        <is>
          <t>UNKNOWN</t>
        </is>
      </c>
      <c r="M9" s="5" t="inlineStr">
        <is>
          <t>UNKNOWN</t>
        </is>
      </c>
      <c r="N9" s="5" t="inlineStr">
        <is>
          <t>LOW · conf. low</t>
        </is>
      </c>
      <c r="O9" s="6" t="n">
        <v>72</v>
      </c>
      <c r="P9" s="8" t="inlineStr">
        <is>
          <t>Calle Ejemplo 130 (DEMO) · supermarket 288 m, pharmacy 389 m, café 250 m, Malecón 521 m</t>
        </is>
      </c>
      <c r="Q9" s="5" t="inlineStr">
        <is>
          <t>12 months min.</t>
        </is>
      </c>
      <c r="R9" s="5" t="inlineStr">
        <is>
          <t>2 months deposit</t>
        </is>
      </c>
      <c r="S9" s="8" t="inlineStr">
        <is>
          <t>61 m² built area — very spacious for a 1-bedroom; USD 15.9/m² (good value vs other 1BR in sample); building security/controlled access</t>
        </is>
      </c>
      <c r="T9" s="8" t="inlineStr">
        <is>
          <t>maintenance fee not published — confirm before visiting</t>
        </is>
      </c>
      <c r="U9" s="5" t="inlineStr">
        <is>
          <t>Urbania</t>
        </is>
      </c>
      <c r="V9" s="10" t="inlineStr">
        <is>
          <t>View listing</t>
        </is>
      </c>
      <c r="W9" s="5" t="inlineStr">
        <is>
          <t>—</t>
        </is>
      </c>
      <c r="X9" s="10" t="inlineStr">
        <is>
          <t>Open map</t>
        </is>
      </c>
      <c r="Y9" s="5" t="inlineStr">
        <is>
          <t>PROGRAMMATIC_PASS</t>
        </is>
      </c>
    </row>
    <row r="10">
      <c r="A10" s="5" t="inlineStr">
        <is>
          <t>TOP 10</t>
        </is>
      </c>
      <c r="B10" s="6" t="n">
        <v>6</v>
      </c>
      <c r="C10" s="7" t="n">
        <v>71.3</v>
      </c>
      <c r="D10" s="8" t="inlineStr">
        <is>
          <t>1BR · 38 m² — Av. Ejemplo 210 (DEMO)</t>
        </is>
      </c>
      <c r="E10" s="9" t="n">
        <v>635.16</v>
      </c>
      <c r="F10" s="5" t="inlineStr">
        <is>
          <t>S/ 350 (≈ USD 103)</t>
        </is>
      </c>
      <c r="G10" s="9" t="n">
        <v>738.5599999999999</v>
      </c>
      <c r="H10" s="6" t="n">
        <v>1</v>
      </c>
      <c r="I10" s="6" t="n">
        <v>38</v>
      </c>
      <c r="J10" s="7" t="n">
        <v>16.71</v>
      </c>
      <c r="K10" s="5" t="inlineStr">
        <is>
          <t>Yes</t>
        </is>
      </c>
      <c r="L10" s="5" t="inlineStr">
        <is>
          <t>Yes (1)</t>
        </is>
      </c>
      <c r="M10" s="5" t="inlineStr">
        <is>
          <t>UNKNOWN</t>
        </is>
      </c>
      <c r="N10" s="5" t="inlineStr">
        <is>
          <t>LOW · conf. low</t>
        </is>
      </c>
      <c r="O10" s="6" t="n">
        <v>72</v>
      </c>
      <c r="P10" s="8" t="inlineStr">
        <is>
          <t>Av. Ejemplo 210 (DEMO) · supermarket 325 m, pharmacy 312 m</t>
        </is>
      </c>
      <c r="Q10" s="5" t="inlineStr">
        <is>
          <t>12 months min.</t>
        </is>
      </c>
      <c r="R10" s="5" t="inlineStr">
        <is>
          <t>2 months deposit</t>
        </is>
      </c>
      <c r="S10" s="8" t="inlineStr">
        <is>
          <t>all-in ≈ USD 739/month; furnished; building security/controlled access</t>
        </is>
      </c>
      <c r="T10" s="8" t="inlineStr">
        <is>
          <t>portal shows an approximate location only</t>
        </is>
      </c>
      <c r="U10" s="5" t="inlineStr">
        <is>
          <t>Urbania</t>
        </is>
      </c>
      <c r="V10" s="10" t="inlineStr">
        <is>
          <t>View listing</t>
        </is>
      </c>
      <c r="W10" s="5" t="inlineStr">
        <is>
          <t>—</t>
        </is>
      </c>
      <c r="X10" s="10" t="inlineStr">
        <is>
          <t>Open map</t>
        </is>
      </c>
      <c r="Y10" s="5" t="inlineStr">
        <is>
          <t>PROGRAMMATIC_PASS</t>
        </is>
      </c>
    </row>
    <row r="11">
      <c r="A11" s="5" t="inlineStr">
        <is>
          <t>TOP 10</t>
        </is>
      </c>
      <c r="B11" s="6" t="n">
        <v>7</v>
      </c>
      <c r="C11" s="7" t="n">
        <v>69.5</v>
      </c>
      <c r="D11" s="8" t="inlineStr">
        <is>
          <t>1BR · 43 m² — Calle Ejemplo 112 (DEMO)</t>
        </is>
      </c>
      <c r="E11" s="9" t="n">
        <v>710</v>
      </c>
      <c r="F11" s="5" t="inlineStr">
        <is>
          <t>S/ 420 (≈ USD 124)</t>
        </is>
      </c>
      <c r="G11" s="9" t="n">
        <v>834.08</v>
      </c>
      <c r="H11" s="6" t="n">
        <v>1</v>
      </c>
      <c r="I11" s="6" t="n">
        <v>43</v>
      </c>
      <c r="J11" s="7" t="n">
        <v>16.51</v>
      </c>
      <c r="K11" s="5" t="inlineStr">
        <is>
          <t>Semi</t>
        </is>
      </c>
      <c r="L11" s="5" t="inlineStr">
        <is>
          <t>UNKNOWN</t>
        </is>
      </c>
      <c r="M11" s="5" t="inlineStr">
        <is>
          <t>UNKNOWN</t>
        </is>
      </c>
      <c r="N11" s="5" t="inlineStr">
        <is>
          <t>MEDIUM · conf. low</t>
        </is>
      </c>
      <c r="O11" s="6" t="n">
        <v>66</v>
      </c>
      <c r="P11" s="8" t="inlineStr">
        <is>
          <t>Calle Ejemplo 112 (DEMO) · supermarket 304 m, pharmacy 301 m, bus/Metropolitano stop 354 m</t>
        </is>
      </c>
      <c r="Q11" s="5" t="inlineStr">
        <is>
          <t>12 months min.</t>
        </is>
      </c>
      <c r="R11" s="5" t="inlineStr">
        <is>
          <t>2 months deposit</t>
        </is>
      </c>
      <c r="S11" s="8" t="inlineStr">
        <is>
          <t>all-in ≈ USD 834/month; building security/controlled access; balcony/terrace</t>
        </is>
      </c>
      <c r="T11" s="8" t="inlineStr">
        <is>
          <t>portal shows an approximate location only</t>
        </is>
      </c>
      <c r="U11" s="5" t="inlineStr">
        <is>
          <t>Urbania</t>
        </is>
      </c>
      <c r="V11" s="10" t="inlineStr">
        <is>
          <t>View listing</t>
        </is>
      </c>
      <c r="W11" s="5" t="inlineStr">
        <is>
          <t>—</t>
        </is>
      </c>
      <c r="X11" s="10" t="inlineStr">
        <is>
          <t>Open map</t>
        </is>
      </c>
      <c r="Y11" s="5" t="inlineStr">
        <is>
          <t>PROGRAMMATIC_PASS</t>
        </is>
      </c>
    </row>
    <row r="12">
      <c r="A12" s="5" t="inlineStr">
        <is>
          <t>TOP 10</t>
        </is>
      </c>
      <c r="B12" s="6" t="n">
        <v>8</v>
      </c>
      <c r="C12" s="7" t="n">
        <v>68.90000000000001</v>
      </c>
      <c r="D12" s="8" t="inlineStr">
        <is>
          <t>2BR · 92 m² — Calle Ejemplo 103 (DEMO)</t>
        </is>
      </c>
      <c r="E12" s="9" t="n">
        <v>760</v>
      </c>
      <c r="F12" s="5" t="inlineStr">
        <is>
          <t>UNKNOWN</t>
        </is>
      </c>
      <c r="G12" s="5" t="inlineStr">
        <is>
          <t>UNKNOWN</t>
        </is>
      </c>
      <c r="H12" s="6" t="n">
        <v>2</v>
      </c>
      <c r="I12" s="6" t="n">
        <v>92</v>
      </c>
      <c r="J12" s="7" t="n">
        <v>8.26</v>
      </c>
      <c r="K12" s="5" t="inlineStr">
        <is>
          <t>Yes</t>
        </is>
      </c>
      <c r="L12" s="5" t="inlineStr">
        <is>
          <t>Yes</t>
        </is>
      </c>
      <c r="M12" s="5" t="inlineStr">
        <is>
          <t>UNKNOWN</t>
        </is>
      </c>
      <c r="N12" s="5" t="inlineStr">
        <is>
          <t>MEDIUM · conf. low</t>
        </is>
      </c>
      <c r="O12" s="6" t="n">
        <v>54</v>
      </c>
      <c r="P12" s="8" t="inlineStr">
        <is>
          <t>Calle Ejemplo 103 (DEMO) · bus/Metropolitano stop 257 m</t>
        </is>
      </c>
      <c r="Q12" s="5" t="inlineStr">
        <is>
          <t>6 months min.</t>
        </is>
      </c>
      <c r="R12" s="5" t="inlineStr">
        <is>
          <t>UNKNOWN</t>
        </is>
      </c>
      <c r="S12" s="8" t="inlineStr">
        <is>
          <t>92 m² built area — very spacious for a 2-bedroom; interior-facing; USD 8.3/m² (excellent value vs other 2BR in sample)</t>
        </is>
      </c>
      <c r="T12" s="8" t="inlineStr">
        <is>
          <t>bars/nightlife nearby — check at night</t>
        </is>
      </c>
      <c r="U12" s="5" t="inlineStr">
        <is>
          <t>Adondevivir</t>
        </is>
      </c>
      <c r="V12" s="10" t="inlineStr">
        <is>
          <t>View listing</t>
        </is>
      </c>
      <c r="W12" s="5" t="inlineStr">
        <is>
          <t>—</t>
        </is>
      </c>
      <c r="X12" s="10" t="inlineStr">
        <is>
          <t>Open map</t>
        </is>
      </c>
      <c r="Y12" s="5" t="inlineStr">
        <is>
          <t>PROGRAMMATIC_PASS</t>
        </is>
      </c>
    </row>
    <row r="13">
      <c r="A13" s="5" t="inlineStr">
        <is>
          <t>TOP 10</t>
        </is>
      </c>
      <c r="B13" s="6" t="n">
        <v>9</v>
      </c>
      <c r="C13" s="7" t="n">
        <v>66.59999999999999</v>
      </c>
      <c r="D13" s="8" t="inlineStr">
        <is>
          <t>2BR · 61 m² — Av. Ejemplo 211 (DEMO)</t>
        </is>
      </c>
      <c r="E13" s="9" t="n">
        <v>664.7</v>
      </c>
      <c r="F13" s="5" t="inlineStr">
        <is>
          <t>S/ 420 (≈ USD 124)</t>
        </is>
      </c>
      <c r="G13" s="9" t="n">
        <v>788.78</v>
      </c>
      <c r="H13" s="6" t="n">
        <v>2</v>
      </c>
      <c r="I13" s="6" t="n">
        <v>61</v>
      </c>
      <c r="J13" s="7" t="n">
        <v>10.9</v>
      </c>
      <c r="K13" s="5" t="inlineStr">
        <is>
          <t>No</t>
        </is>
      </c>
      <c r="L13" s="5" t="inlineStr">
        <is>
          <t>No</t>
        </is>
      </c>
      <c r="M13" s="5" t="inlineStr">
        <is>
          <t>UNKNOWN</t>
        </is>
      </c>
      <c r="N13" s="5" t="inlineStr">
        <is>
          <t>LOW · conf. high</t>
        </is>
      </c>
      <c r="O13" s="6" t="n">
        <v>85</v>
      </c>
      <c r="P13" s="8" t="inlineStr">
        <is>
          <t>Av. Ejemplo 211 (DEMO) · supermarket 429 m, park 233 m</t>
        </is>
      </c>
      <c r="Q13" s="5" t="inlineStr">
        <is>
          <t>6 months min.</t>
        </is>
      </c>
      <c r="R13" s="5" t="inlineStr">
        <is>
          <t>UNKNOWN</t>
        </is>
      </c>
      <c r="S13" s="8" t="inlineStr">
        <is>
          <t>low estimated noise (85/100); interior-facing; USD 10.9/m² (good value vs other 2BR in sample)</t>
        </is>
      </c>
      <c r="T13" s="5" t="inlineStr">
        <is>
          <t>unfurnished</t>
        </is>
      </c>
      <c r="U13" s="5" t="inlineStr">
        <is>
          <t>Adondevivir</t>
        </is>
      </c>
      <c r="V13" s="10" t="inlineStr">
        <is>
          <t>View listing</t>
        </is>
      </c>
      <c r="W13" s="5" t="inlineStr">
        <is>
          <t>—</t>
        </is>
      </c>
      <c r="X13" s="10" t="inlineStr">
        <is>
          <t>Open map</t>
        </is>
      </c>
      <c r="Y13" s="5" t="inlineStr">
        <is>
          <t>PROGRAMMATIC_PASS</t>
        </is>
      </c>
    </row>
    <row r="14">
      <c r="A14" s="5" t="inlineStr">
        <is>
          <t>TOP 10</t>
        </is>
      </c>
      <c r="B14" s="6" t="n">
        <v>10</v>
      </c>
      <c r="C14" s="7" t="n">
        <v>64.2</v>
      </c>
      <c r="D14" s="8" t="inlineStr">
        <is>
          <t>1BR · 47 m² — Calle Ejemplo 127 (DEMO)</t>
        </is>
      </c>
      <c r="E14" s="9" t="n">
        <v>650</v>
      </c>
      <c r="F14" s="5" t="inlineStr">
        <is>
          <t>S/ 300 (≈ USD 89)</t>
        </is>
      </c>
      <c r="G14" s="9" t="n">
        <v>738.63</v>
      </c>
      <c r="H14" s="6" t="n">
        <v>1</v>
      </c>
      <c r="I14" s="6" t="n">
        <v>47</v>
      </c>
      <c r="J14" s="7" t="n">
        <v>13.83</v>
      </c>
      <c r="K14" s="5" t="inlineStr">
        <is>
          <t>No</t>
        </is>
      </c>
      <c r="L14" s="5" t="inlineStr">
        <is>
          <t>UNKNOWN</t>
        </is>
      </c>
      <c r="M14" s="5" t="n">
        <v>10</v>
      </c>
      <c r="N14" s="5" t="inlineStr">
        <is>
          <t>LOW · conf. medium</t>
        </is>
      </c>
      <c r="O14" s="6" t="n">
        <v>75</v>
      </c>
      <c r="P14" s="8" t="inlineStr">
        <is>
          <t>Calle Ejemplo 127 (DEMO)</t>
        </is>
      </c>
      <c r="Q14" s="5" t="inlineStr">
        <is>
          <t>UNKNOWN</t>
        </is>
      </c>
      <c r="R14" s="5" t="inlineStr">
        <is>
          <t>UNKNOWN</t>
        </is>
      </c>
      <c r="S14" s="8" t="inlineStr">
        <is>
          <t>low estimated noise (75/100); USD 13.8/m² (good value vs other 1BR in sample); all-in ≈ USD 739/month</t>
        </is>
      </c>
      <c r="T14" s="5" t="inlineStr">
        <is>
          <t>unfurnished</t>
        </is>
      </c>
      <c r="U14" s="5" t="inlineStr">
        <is>
          <t>Adondevivir</t>
        </is>
      </c>
      <c r="V14" s="10" t="inlineStr">
        <is>
          <t>View listing</t>
        </is>
      </c>
      <c r="W14" s="5" t="inlineStr">
        <is>
          <t>—</t>
        </is>
      </c>
      <c r="X14" s="10" t="inlineStr">
        <is>
          <t>Open map</t>
        </is>
      </c>
      <c r="Y14" s="5" t="inlineStr">
        <is>
          <t>PROGRAMMATIC_PASS</t>
        </is>
      </c>
    </row>
    <row r="15">
      <c r="A15" s="5" t="inlineStr">
        <is>
          <t>ALTERNATIVE</t>
        </is>
      </c>
      <c r="B15" s="6" t="n">
        <v>11</v>
      </c>
      <c r="C15" s="7" t="n">
        <v>63.6</v>
      </c>
      <c r="D15" s="8" t="inlineStr">
        <is>
          <t>2BR · 58 m² — Av. Ejemplo 228 (DEMO)</t>
        </is>
      </c>
      <c r="E15" s="9" t="n">
        <v>812.41</v>
      </c>
      <c r="F15" s="5" t="inlineStr">
        <is>
          <t>S/ 420 (≈ USD 124)</t>
        </is>
      </c>
      <c r="G15" s="9" t="n">
        <v>936.49</v>
      </c>
      <c r="H15" s="6" t="n">
        <v>2</v>
      </c>
      <c r="I15" s="6" t="n">
        <v>58</v>
      </c>
      <c r="J15" s="7" t="n">
        <v>14.01</v>
      </c>
      <c r="K15" s="5" t="inlineStr">
        <is>
          <t>Semi</t>
        </is>
      </c>
      <c r="L15" s="5" t="inlineStr">
        <is>
          <t>Yes (1)</t>
        </is>
      </c>
      <c r="M15" s="5" t="inlineStr">
        <is>
          <t>UNKNOWN</t>
        </is>
      </c>
      <c r="N15" s="8" t="inlineStr">
        <is>
          <t>MEDIUM · conf. high</t>
        </is>
      </c>
      <c r="O15" s="6" t="n">
        <v>60</v>
      </c>
      <c r="P15" s="8" t="inlineStr">
        <is>
          <t>Av. Ejemplo 228 (DEMO) · park 0 m, Malecón 432 m</t>
        </is>
      </c>
      <c r="Q15" s="5" t="inlineStr">
        <is>
          <t>UNKNOWN</t>
        </is>
      </c>
      <c r="R15" s="5" t="inlineStr">
        <is>
          <t>UNKNOWN</t>
        </is>
      </c>
      <c r="S15" s="8" t="inlineStr">
        <is>
          <t>building security/controlled access</t>
        </is>
      </c>
      <c r="T15" s="8" t="inlineStr">
        <is>
          <t>listing says the unit faces an avenue</t>
        </is>
      </c>
      <c r="U15" s="5" t="inlineStr">
        <is>
          <t>Urbania</t>
        </is>
      </c>
      <c r="V15" s="10" t="inlineStr">
        <is>
          <t>View listing</t>
        </is>
      </c>
      <c r="W15" s="5" t="inlineStr">
        <is>
          <t>—</t>
        </is>
      </c>
      <c r="X15" s="10" t="inlineStr">
        <is>
          <t>Open map</t>
        </is>
      </c>
      <c r="Y15" s="5" t="inlineStr">
        <is>
          <t>PROGRAMMATIC_PASS</t>
        </is>
      </c>
    </row>
    <row r="16">
      <c r="A16" s="5" t="inlineStr">
        <is>
          <t>ALTERNATIVE</t>
        </is>
      </c>
      <c r="B16" s="6" t="n">
        <v>12</v>
      </c>
      <c r="C16" s="7" t="n">
        <v>63.5</v>
      </c>
      <c r="D16" s="8" t="inlineStr">
        <is>
          <t>1BR · 62 m² — Av. Ejemplo 201 (DEMO)</t>
        </is>
      </c>
      <c r="E16" s="9" t="n">
        <v>782.87</v>
      </c>
      <c r="F16" s="5" t="inlineStr">
        <is>
          <t>S/ 420 (≈ USD 124)</t>
        </is>
      </c>
      <c r="G16" s="9" t="n">
        <v>906.95</v>
      </c>
      <c r="H16" s="6" t="n">
        <v>1</v>
      </c>
      <c r="I16" s="6" t="n">
        <v>62</v>
      </c>
      <c r="J16" s="7" t="n">
        <v>12.63</v>
      </c>
      <c r="K16" s="5" t="inlineStr">
        <is>
          <t>No</t>
        </is>
      </c>
      <c r="L16" s="5" t="inlineStr">
        <is>
          <t>No</t>
        </is>
      </c>
      <c r="M16" s="5" t="n">
        <v>3</v>
      </c>
      <c r="N16" s="5" t="inlineStr">
        <is>
          <t>LOW · conf. medium</t>
        </is>
      </c>
      <c r="O16" s="6" t="n">
        <v>72</v>
      </c>
      <c r="P16" s="8" t="inlineStr">
        <is>
          <t>Av. Ejemplo 201 (DEMO) · Malecón 834 m</t>
        </is>
      </c>
      <c r="Q16" s="5" t="inlineStr">
        <is>
          <t>UNKNOWN</t>
        </is>
      </c>
      <c r="R16" s="5" t="inlineStr">
        <is>
          <t>UNKNOWN</t>
        </is>
      </c>
      <c r="S16" s="8" t="inlineStr">
        <is>
          <t>62 m² built area — very spacious for a 1-bedroom; low estimated noise (72/100); USD 12.6/m² (excellent value vs other 1BR in sample)</t>
        </is>
      </c>
      <c r="T16" s="5" t="inlineStr">
        <is>
          <t>unfurnished</t>
        </is>
      </c>
      <c r="U16" s="5" t="inlineStr">
        <is>
          <t>Adondevivir</t>
        </is>
      </c>
      <c r="V16" s="10" t="inlineStr">
        <is>
          <t>View listing</t>
        </is>
      </c>
      <c r="W16" s="5" t="inlineStr">
        <is>
          <t>—</t>
        </is>
      </c>
      <c r="X16" s="10" t="inlineStr">
        <is>
          <t>Open map</t>
        </is>
      </c>
      <c r="Y16" s="5" t="inlineStr">
        <is>
          <t>PROGRAMMATIC_PASS</t>
        </is>
      </c>
    </row>
    <row r="17">
      <c r="A17" s="5" t="inlineStr">
        <is>
          <t>ALTERNATIVE</t>
        </is>
      </c>
      <c r="B17" s="6" t="n">
        <v>13</v>
      </c>
      <c r="C17" s="7" t="n">
        <v>63.4</v>
      </c>
      <c r="D17" s="8" t="inlineStr">
        <is>
          <t>1BR · 41 m² — Av. Ejemplo 202 (DEMO)</t>
        </is>
      </c>
      <c r="E17" s="9" t="n">
        <v>782.87</v>
      </c>
      <c r="F17" s="5" t="inlineStr">
        <is>
          <t>S/ 300 (≈ USD 89)</t>
        </is>
      </c>
      <c r="G17" s="9" t="n">
        <v>871.5</v>
      </c>
      <c r="H17" s="6" t="n">
        <v>1</v>
      </c>
      <c r="I17" s="6" t="n">
        <v>41</v>
      </c>
      <c r="J17" s="7" t="n">
        <v>19.09</v>
      </c>
      <c r="K17" s="5" t="inlineStr">
        <is>
          <t>UNKNOWN</t>
        </is>
      </c>
      <c r="L17" s="5" t="inlineStr">
        <is>
          <t>No</t>
        </is>
      </c>
      <c r="M17" s="5" t="n">
        <v>4</v>
      </c>
      <c r="N17" s="5" t="inlineStr">
        <is>
          <t>LOW · conf. medium</t>
        </is>
      </c>
      <c r="O17" s="6" t="n">
        <v>72</v>
      </c>
      <c r="P17" s="8" t="inlineStr">
        <is>
          <t>Av. Ejemplo 202 (DEMO) · supermarket 354 m, Malecón 404 m</t>
        </is>
      </c>
      <c r="Q17" s="5" t="inlineStr">
        <is>
          <t>UNKNOWN</t>
        </is>
      </c>
      <c r="R17" s="5" t="inlineStr">
        <is>
          <t>UNKNOWN</t>
        </is>
      </c>
      <c r="S17" s="8" t="inlineStr">
        <is>
          <t>low estimated noise (72/100); balcony/terrace</t>
        </is>
      </c>
      <c r="T17" s="8" t="inlineStr">
        <is>
          <t>no direct phone/WhatsApp — contact via portal</t>
        </is>
      </c>
      <c r="U17" s="5" t="inlineStr">
        <is>
          <t>Urbania</t>
        </is>
      </c>
      <c r="V17" s="10" t="inlineStr">
        <is>
          <t>View listing</t>
        </is>
      </c>
      <c r="W17" s="5" t="inlineStr">
        <is>
          <t>—</t>
        </is>
      </c>
      <c r="X17" s="10" t="inlineStr">
        <is>
          <t>Open map</t>
        </is>
      </c>
      <c r="Y17" s="5" t="inlineStr">
        <is>
          <t>PROGRAMMATIC_PASS</t>
        </is>
      </c>
    </row>
    <row r="18">
      <c r="A18" s="5" t="inlineStr">
        <is>
          <t>ALTERNATIVE</t>
        </is>
      </c>
      <c r="B18" s="6" t="n">
        <v>14</v>
      </c>
      <c r="C18" s="7" t="n">
        <v>63.4</v>
      </c>
      <c r="D18" s="8" t="inlineStr">
        <is>
          <t>2BR · 55 m² — Calle Ejemplo 115 (DEMO)</t>
        </is>
      </c>
      <c r="E18" s="9" t="n">
        <v>890</v>
      </c>
      <c r="F18" s="5" t="inlineStr">
        <is>
          <t>S/ 500 (≈ USD 148)</t>
        </is>
      </c>
      <c r="G18" s="9" t="n">
        <v>1037.71</v>
      </c>
      <c r="H18" s="6" t="n">
        <v>2</v>
      </c>
      <c r="I18" s="6" t="n">
        <v>55</v>
      </c>
      <c r="J18" s="7" t="n">
        <v>16.18</v>
      </c>
      <c r="K18" s="5" t="inlineStr">
        <is>
          <t>UNKNOWN</t>
        </is>
      </c>
      <c r="L18" s="5" t="inlineStr">
        <is>
          <t>UNKNOWN</t>
        </is>
      </c>
      <c r="M18" s="5" t="inlineStr">
        <is>
          <t>UNKNOWN</t>
        </is>
      </c>
      <c r="N18" s="5" t="inlineStr">
        <is>
          <t>LOW · conf. high</t>
        </is>
      </c>
      <c r="O18" s="6" t="n">
        <v>97</v>
      </c>
      <c r="P18" s="8" t="inlineStr">
        <is>
          <t>Calle Ejemplo 115 (DEMO) · Malecón 718 m</t>
        </is>
      </c>
      <c r="Q18" s="5" t="inlineStr">
        <is>
          <t>12 months min.</t>
        </is>
      </c>
      <c r="R18" s="8" t="inlineStr">
        <is>
          <t>2 months deposit; 1 in advance</t>
        </is>
      </c>
      <c r="S18" s="8" t="inlineStr">
        <is>
          <t>low estimated noise (97/100); interior-facing; acoustic/double-glazed windows</t>
        </is>
      </c>
      <c r="T18" s="8" t="inlineStr">
        <is>
          <t>rent + maintenance ≈ USD 1,038 (USD 890 rent + S/ 500 maintenance) exceeds USD 1,000</t>
        </is>
      </c>
      <c r="U18" s="5" t="inlineStr">
        <is>
          <t>Adondevivir</t>
        </is>
      </c>
      <c r="V18" s="10" t="inlineStr">
        <is>
          <t>View listing</t>
        </is>
      </c>
      <c r="W18" s="5" t="inlineStr">
        <is>
          <t>—</t>
        </is>
      </c>
      <c r="X18" s="10" t="inlineStr">
        <is>
          <t>Open map</t>
        </is>
      </c>
      <c r="Y18" s="5" t="inlineStr">
        <is>
          <t>PROGRAMMATIC_PASS</t>
        </is>
      </c>
    </row>
    <row r="19">
      <c r="A19" s="5" t="inlineStr">
        <is>
          <t>ALTERNATIVE</t>
        </is>
      </c>
      <c r="B19" s="6" t="n">
        <v>15</v>
      </c>
      <c r="C19" s="7" t="n">
        <v>63</v>
      </c>
      <c r="D19" s="8" t="inlineStr">
        <is>
          <t>2BR · 98 m² — Av. Ejemplo 205 (DEMO)</t>
        </is>
      </c>
      <c r="E19" s="9" t="n">
        <v>856.72</v>
      </c>
      <c r="F19" s="5" t="inlineStr">
        <is>
          <t>S/ 500 (≈ USD 148)</t>
        </is>
      </c>
      <c r="G19" s="9" t="n">
        <v>1004.43</v>
      </c>
      <c r="H19" s="6" t="n">
        <v>2</v>
      </c>
      <c r="I19" s="6" t="n">
        <v>98</v>
      </c>
      <c r="J19" s="7" t="n">
        <v>8.74</v>
      </c>
      <c r="K19" s="5" t="inlineStr">
        <is>
          <t>Yes</t>
        </is>
      </c>
      <c r="L19" s="5" t="inlineStr">
        <is>
          <t>Yes (1)</t>
        </is>
      </c>
      <c r="M19" s="5" t="inlineStr">
        <is>
          <t>UNKNOWN</t>
        </is>
      </c>
      <c r="N19" s="5" t="inlineStr">
        <is>
          <t>HIGH · conf. low</t>
        </is>
      </c>
      <c r="O19" s="6" t="n">
        <v>44</v>
      </c>
      <c r="P19" s="8" t="inlineStr">
        <is>
          <t>Av. Ejemplo 205 (DEMO) · bus/Metropolitano stop 264 m</t>
        </is>
      </c>
      <c r="Q19" s="5" t="inlineStr">
        <is>
          <t>12 months min.</t>
        </is>
      </c>
      <c r="R19" s="8" t="inlineStr">
        <is>
          <t>2 months deposit; 1 in advance</t>
        </is>
      </c>
      <c r="S19" s="8" t="inlineStr">
        <is>
          <t>98 m² built area — very spacious for a 2-bedroom; interior-facing; acoustic/double-glazed windows</t>
        </is>
      </c>
      <c r="T19" s="8" t="inlineStr">
        <is>
          <t>high estimated noise: 41 m from Av. Demo Arterial (DEMO) (major road)</t>
        </is>
      </c>
      <c r="U19" s="5" t="inlineStr">
        <is>
          <t>Adondevivir</t>
        </is>
      </c>
      <c r="V19" s="10" t="inlineStr">
        <is>
          <t>View listing</t>
        </is>
      </c>
      <c r="W19" s="5" t="inlineStr">
        <is>
          <t>—</t>
        </is>
      </c>
      <c r="X19" s="10" t="inlineStr">
        <is>
          <t>Open map</t>
        </is>
      </c>
      <c r="Y19" s="5" t="inlineStr">
        <is>
          <t>PROGRAMMATIC_PASS</t>
        </is>
      </c>
    </row>
    <row r="20">
      <c r="A20" s="5" t="inlineStr">
        <is>
          <t>ALTERNATIVE</t>
        </is>
      </c>
      <c r="B20" s="6" t="n">
        <v>16</v>
      </c>
      <c r="C20" s="7" t="n">
        <v>62.9</v>
      </c>
      <c r="D20" s="8" t="inlineStr">
        <is>
          <t>2BR · 97 m² — Calle Ejemplo 106 (DEMO)</t>
        </is>
      </c>
      <c r="E20" s="9" t="n">
        <v>970</v>
      </c>
      <c r="F20" s="5" t="inlineStr">
        <is>
          <t>S/ 500 (≈ USD 148)</t>
        </is>
      </c>
      <c r="G20" s="9" t="n">
        <v>1117.71</v>
      </c>
      <c r="H20" s="6" t="n">
        <v>2</v>
      </c>
      <c r="I20" s="6" t="n">
        <v>97</v>
      </c>
      <c r="J20" s="7" t="n">
        <v>10</v>
      </c>
      <c r="K20" s="5" t="inlineStr">
        <is>
          <t>Yes</t>
        </is>
      </c>
      <c r="L20" s="5" t="inlineStr">
        <is>
          <t>UNKNOWN</t>
        </is>
      </c>
      <c r="M20" s="5" t="n">
        <v>14</v>
      </c>
      <c r="N20" s="8" t="inlineStr">
        <is>
          <t>MEDIUM · conf. medium</t>
        </is>
      </c>
      <c r="O20" s="6" t="n">
        <v>60</v>
      </c>
      <c r="P20" s="8" t="inlineStr">
        <is>
          <t>Calle Ejemplo 106 (DEMO)</t>
        </is>
      </c>
      <c r="Q20" s="5" t="inlineStr">
        <is>
          <t>UNKNOWN</t>
        </is>
      </c>
      <c r="R20" s="5" t="inlineStr">
        <is>
          <t>UNKNOWN</t>
        </is>
      </c>
      <c r="S20" s="8" t="inlineStr">
        <is>
          <t>97 m² built area — very spacious for a 2-bedroom; USD 10.0/m² (excellent value vs other 2BR in sample); furnished</t>
        </is>
      </c>
      <c r="T20" s="8" t="inlineStr">
        <is>
          <t>rent + maintenance ≈ USD 1,118 (USD 970 rent + S/ 500 maintenance) exceeds USD 1,000</t>
        </is>
      </c>
      <c r="U20" s="5" t="inlineStr">
        <is>
          <t>Urbania</t>
        </is>
      </c>
      <c r="V20" s="10" t="inlineStr">
        <is>
          <t>View listing</t>
        </is>
      </c>
      <c r="W20" s="5" t="inlineStr">
        <is>
          <t>—</t>
        </is>
      </c>
      <c r="X20" s="10" t="inlineStr">
        <is>
          <t>Open map</t>
        </is>
      </c>
      <c r="Y20" s="5" t="inlineStr">
        <is>
          <t>PROGRAMMATIC_PASS</t>
        </is>
      </c>
    </row>
    <row r="21">
      <c r="A21" s="5" t="inlineStr">
        <is>
          <t>ALTERNATIVE</t>
        </is>
      </c>
      <c r="B21" s="6" t="n">
        <v>17</v>
      </c>
      <c r="C21" s="7" t="n">
        <v>62</v>
      </c>
      <c r="D21" s="8" t="inlineStr">
        <is>
          <t>2BR · 63 m² — Av. Ejemplo 216 (DEMO)</t>
        </is>
      </c>
      <c r="E21" s="9" t="n">
        <v>886.26</v>
      </c>
      <c r="F21" s="5" t="inlineStr">
        <is>
          <t>S/ 500 (≈ USD 148)</t>
        </is>
      </c>
      <c r="G21" s="9" t="n">
        <v>1033.97</v>
      </c>
      <c r="H21" s="6" t="n">
        <v>2</v>
      </c>
      <c r="I21" s="6" t="n">
        <v>63</v>
      </c>
      <c r="J21" s="7" t="n">
        <v>14.07</v>
      </c>
      <c r="K21" s="5" t="inlineStr">
        <is>
          <t>Yes</t>
        </is>
      </c>
      <c r="L21" s="5" t="inlineStr">
        <is>
          <t>Yes (1)</t>
        </is>
      </c>
      <c r="M21" s="5" t="inlineStr">
        <is>
          <t>UNKNOWN</t>
        </is>
      </c>
      <c r="N21" s="5" t="inlineStr">
        <is>
          <t>MEDIUM · conf. low</t>
        </is>
      </c>
      <c r="O21" s="6" t="n">
        <v>60</v>
      </c>
      <c r="P21" s="8" t="inlineStr">
        <is>
          <t>Av. Ejemplo 216 (DEMO) · supermarket 364 m, café 273 m, Malecón 605 m</t>
        </is>
      </c>
      <c r="Q21" s="5" t="inlineStr">
        <is>
          <t>UNKNOWN</t>
        </is>
      </c>
      <c r="R21" s="5" t="inlineStr">
        <is>
          <t>UNKNOWN</t>
        </is>
      </c>
      <c r="S21" s="8" t="inlineStr">
        <is>
          <t>furnished; building security/controlled access</t>
        </is>
      </c>
      <c r="T21" s="8" t="inlineStr">
        <is>
          <t>listing says the unit faces an avenue</t>
        </is>
      </c>
      <c r="U21" s="5" t="inlineStr">
        <is>
          <t>Urbania</t>
        </is>
      </c>
      <c r="V21" s="10" t="inlineStr">
        <is>
          <t>View listing</t>
        </is>
      </c>
      <c r="W21" s="5" t="inlineStr">
        <is>
          <t>—</t>
        </is>
      </c>
      <c r="X21" s="10" t="inlineStr">
        <is>
          <t>Open map</t>
        </is>
      </c>
      <c r="Y21" s="5" t="inlineStr">
        <is>
          <t>PROGRAMMATIC_PASS</t>
        </is>
      </c>
    </row>
    <row r="22">
      <c r="A22" s="5" t="inlineStr">
        <is>
          <t>ALTERNATIVE</t>
        </is>
      </c>
      <c r="B22" s="6" t="n">
        <v>18</v>
      </c>
      <c r="C22" s="7" t="n">
        <v>60.8</v>
      </c>
      <c r="D22" s="8" t="inlineStr">
        <is>
          <t>1BR · 58 m² — Av. Ejemplo 231 (DEMO)</t>
        </is>
      </c>
      <c r="E22" s="9" t="n">
        <v>797.64</v>
      </c>
      <c r="F22" s="5" t="inlineStr">
        <is>
          <t>S/ 420 (≈ USD 124)</t>
        </is>
      </c>
      <c r="G22" s="9" t="n">
        <v>921.72</v>
      </c>
      <c r="H22" s="6" t="n">
        <v>1</v>
      </c>
      <c r="I22" s="6" t="n">
        <v>58</v>
      </c>
      <c r="J22" s="7" t="n">
        <v>13.75</v>
      </c>
      <c r="K22" s="5" t="inlineStr">
        <is>
          <t>Semi</t>
        </is>
      </c>
      <c r="L22" s="5" t="inlineStr">
        <is>
          <t>Yes (1)</t>
        </is>
      </c>
      <c r="M22" s="5" t="inlineStr">
        <is>
          <t>UNKNOWN</t>
        </is>
      </c>
      <c r="N22" s="5" t="inlineStr">
        <is>
          <t>HIGH · conf. low</t>
        </is>
      </c>
      <c r="O22" s="6" t="n">
        <v>40</v>
      </c>
      <c r="P22" s="8" t="inlineStr">
        <is>
          <t>Av. Ejemplo 231 (DEMO) · bus/Metropolitano stop 114 m</t>
        </is>
      </c>
      <c r="Q22" s="5" t="inlineStr">
        <is>
          <t>12 months min.</t>
        </is>
      </c>
      <c r="R22" s="8" t="inlineStr">
        <is>
          <t>2 months deposit; 1 in advance</t>
        </is>
      </c>
      <c r="S22" s="8" t="inlineStr">
        <is>
          <t>58 m² built area — good for a 1-bedroom; interior-facing; acoustic/double-glazed windows</t>
        </is>
      </c>
      <c r="T22" s="8" t="inlineStr">
        <is>
          <t>high estimated noise: 75 m from Av. Demo Arterial (DEMO) (major road)</t>
        </is>
      </c>
      <c r="U22" s="5" t="inlineStr">
        <is>
          <t>Adondevivir</t>
        </is>
      </c>
      <c r="V22" s="10" t="inlineStr">
        <is>
          <t>View listing</t>
        </is>
      </c>
      <c r="W22" s="5" t="inlineStr">
        <is>
          <t>—</t>
        </is>
      </c>
      <c r="X22" s="10" t="inlineStr">
        <is>
          <t>Open map</t>
        </is>
      </c>
      <c r="Y22" s="5" t="inlineStr">
        <is>
          <t>PROGRAMMATIC_PASS</t>
        </is>
      </c>
    </row>
    <row r="23">
      <c r="A23" s="5" t="inlineStr">
        <is>
          <t>ALTERNATIVE</t>
        </is>
      </c>
      <c r="B23" s="6" t="n">
        <v>19</v>
      </c>
      <c r="C23" s="7" t="n">
        <v>59</v>
      </c>
      <c r="D23" s="8" t="inlineStr">
        <is>
          <t>2BR · 53 m² — Av. Ejemplo 223 (DEMO)</t>
        </is>
      </c>
      <c r="E23" s="9" t="n">
        <v>960.12</v>
      </c>
      <c r="F23" s="5" t="inlineStr">
        <is>
          <t>S/ 350 (≈ USD 103)</t>
        </is>
      </c>
      <c r="G23" s="9" t="n">
        <v>1063.52</v>
      </c>
      <c r="H23" s="6" t="n">
        <v>2</v>
      </c>
      <c r="I23" s="6" t="n">
        <v>53</v>
      </c>
      <c r="J23" s="7" t="n">
        <v>18.12</v>
      </c>
      <c r="K23" s="5" t="inlineStr">
        <is>
          <t>Yes</t>
        </is>
      </c>
      <c r="L23" s="5" t="inlineStr">
        <is>
          <t>No</t>
        </is>
      </c>
      <c r="M23" s="5" t="inlineStr">
        <is>
          <t>UNKNOWN</t>
        </is>
      </c>
      <c r="N23" s="5" t="inlineStr">
        <is>
          <t>LOW · conf. high</t>
        </is>
      </c>
      <c r="O23" s="6" t="n">
        <v>72</v>
      </c>
      <c r="P23" s="8" t="inlineStr">
        <is>
          <t>Av. Ejemplo 223 (DEMO) · supermarket 483 m</t>
        </is>
      </c>
      <c r="Q23" s="5" t="inlineStr">
        <is>
          <t>12 months min.</t>
        </is>
      </c>
      <c r="R23" s="5" t="inlineStr">
        <is>
          <t>2 months deposit</t>
        </is>
      </c>
      <c r="S23" s="8" t="inlineStr">
        <is>
          <t>low estimated noise (72/100); furnished; building security/controlled access</t>
        </is>
      </c>
      <c r="T23" s="8" t="inlineStr">
        <is>
          <t>rent + maintenance ≈ USD 1,064 (USD 960 rent + S/ 350 maintenance) exceeds USD 1,000</t>
        </is>
      </c>
      <c r="U23" s="5" t="inlineStr">
        <is>
          <t>Adondevivir</t>
        </is>
      </c>
      <c r="V23" s="10" t="inlineStr">
        <is>
          <t>View listing</t>
        </is>
      </c>
      <c r="W23" s="5" t="inlineStr">
        <is>
          <t>—</t>
        </is>
      </c>
      <c r="X23" s="10" t="inlineStr">
        <is>
          <t>Open map</t>
        </is>
      </c>
      <c r="Y23" s="5" t="inlineStr">
        <is>
          <t>PROGRAMMATIC_PASS</t>
        </is>
      </c>
    </row>
    <row r="24">
      <c r="A24" s="5" t="inlineStr">
        <is>
          <t>ALTERNATIVE</t>
        </is>
      </c>
      <c r="B24" s="6" t="n">
        <v>20</v>
      </c>
      <c r="C24" s="7" t="n">
        <v>58</v>
      </c>
      <c r="D24" s="8" t="inlineStr">
        <is>
          <t>1BR · 39 m² — Av. Ejemplo 220 (DEMO)</t>
        </is>
      </c>
      <c r="E24" s="9" t="n">
        <v>812.41</v>
      </c>
      <c r="F24" s="5" t="inlineStr">
        <is>
          <t>S/ 350 (≈ USD 103)</t>
        </is>
      </c>
      <c r="G24" s="9" t="n">
        <v>915.8099999999999</v>
      </c>
      <c r="H24" s="6" t="n">
        <v>1</v>
      </c>
      <c r="I24" s="6" t="n">
        <v>39</v>
      </c>
      <c r="J24" s="7" t="n">
        <v>20.83</v>
      </c>
      <c r="K24" s="5" t="inlineStr">
        <is>
          <t>Yes</t>
        </is>
      </c>
      <c r="L24" s="5" t="inlineStr">
        <is>
          <t>Yes (1)</t>
        </is>
      </c>
      <c r="M24" s="5" t="n">
        <v>1</v>
      </c>
      <c r="N24" s="5" t="inlineStr">
        <is>
          <t>MEDIUM · conf. low</t>
        </is>
      </c>
      <c r="O24" s="6" t="n">
        <v>57</v>
      </c>
      <c r="P24" s="8" t="inlineStr">
        <is>
          <t>Av. Ejemplo 220 (DEMO)</t>
        </is>
      </c>
      <c r="Q24" s="5" t="inlineStr">
        <is>
          <t>UNKNOWN</t>
        </is>
      </c>
      <c r="R24" s="5" t="inlineStr">
        <is>
          <t>UNKNOWN</t>
        </is>
      </c>
      <c r="S24" s="8" t="inlineStr">
        <is>
          <t>furnished; balcony/terrace</t>
        </is>
      </c>
      <c r="T24" s="8" t="inlineStr">
        <is>
          <t>portal shows an approximate location only</t>
        </is>
      </c>
      <c r="U24" s="5" t="inlineStr">
        <is>
          <t>Urbania</t>
        </is>
      </c>
      <c r="V24" s="10" t="inlineStr">
        <is>
          <t>View listing</t>
        </is>
      </c>
      <c r="W24" s="5" t="inlineStr">
        <is>
          <t>—</t>
        </is>
      </c>
      <c r="X24" s="10" t="inlineStr">
        <is>
          <t>Open map</t>
        </is>
      </c>
      <c r="Y24" s="5" t="inlineStr">
        <is>
          <t>PROGRAMMATIC_PASS</t>
        </is>
      </c>
    </row>
    <row r="25">
      <c r="A25" s="5" t="inlineStr">
        <is>
          <t>ALTERNATIVE</t>
        </is>
      </c>
      <c r="B25" s="6" t="n">
        <v>21</v>
      </c>
      <c r="C25" s="7" t="n">
        <v>57.5</v>
      </c>
      <c r="D25" s="8" t="inlineStr">
        <is>
          <t>1BR · 40 m² — Av. Ejemplo 208 (DEMO)</t>
        </is>
      </c>
      <c r="E25" s="9" t="n">
        <v>841.95</v>
      </c>
      <c r="F25" s="5" t="inlineStr">
        <is>
          <t>S/ 500 (≈ USD 148)</t>
        </is>
      </c>
      <c r="G25" s="9" t="n">
        <v>989.66</v>
      </c>
      <c r="H25" s="6" t="n">
        <v>1</v>
      </c>
      <c r="I25" s="6" t="n">
        <v>40</v>
      </c>
      <c r="J25" s="7" t="n">
        <v>21.05</v>
      </c>
      <c r="K25" s="5" t="inlineStr">
        <is>
          <t>Semi</t>
        </is>
      </c>
      <c r="L25" s="5" t="inlineStr">
        <is>
          <t>No</t>
        </is>
      </c>
      <c r="M25" s="5" t="inlineStr">
        <is>
          <t>UNKNOWN</t>
        </is>
      </c>
      <c r="N25" s="8" t="inlineStr">
        <is>
          <t>MEDIUM · conf. high</t>
        </is>
      </c>
      <c r="O25" s="6" t="n">
        <v>60</v>
      </c>
      <c r="P25" s="8" t="inlineStr">
        <is>
          <t>Av. Ejemplo 208 (DEMO) · park 279 m</t>
        </is>
      </c>
      <c r="Q25" s="5" t="inlineStr">
        <is>
          <t>UNKNOWN</t>
        </is>
      </c>
      <c r="R25" s="5" t="inlineStr">
        <is>
          <t>UNKNOWN</t>
        </is>
      </c>
      <c r="S25" s="8" t="inlineStr">
        <is>
          <t>building security/controlled access</t>
        </is>
      </c>
      <c r="T25" s="8" t="inlineStr">
        <is>
          <t>listing says the unit faces an avenue</t>
        </is>
      </c>
      <c r="U25" s="5" t="inlineStr">
        <is>
          <t>Urbania</t>
        </is>
      </c>
      <c r="V25" s="10" t="inlineStr">
        <is>
          <t>View listing</t>
        </is>
      </c>
      <c r="W25" s="5" t="inlineStr">
        <is>
          <t>—</t>
        </is>
      </c>
      <c r="X25" s="10" t="inlineStr">
        <is>
          <t>Open map</t>
        </is>
      </c>
      <c r="Y25" s="5" t="inlineStr">
        <is>
          <t>PROGRAMMATIC_PASS</t>
        </is>
      </c>
    </row>
    <row r="26">
      <c r="A26" s="5" t="inlineStr">
        <is>
          <t>ALTERNATIVE</t>
        </is>
      </c>
      <c r="B26" s="6" t="n">
        <v>22</v>
      </c>
      <c r="C26" s="7" t="n">
        <v>52.1</v>
      </c>
      <c r="D26" s="8" t="inlineStr">
        <is>
          <t>2BR · 64 m² — Av. Ejemplo 214 (DEMO)</t>
        </is>
      </c>
      <c r="E26" s="9" t="n">
        <v>974.89</v>
      </c>
      <c r="F26" s="5" t="inlineStr">
        <is>
          <t>S/ 420 (≈ USD 124)</t>
        </is>
      </c>
      <c r="G26" s="9" t="n">
        <v>1098.97</v>
      </c>
      <c r="H26" s="6" t="n">
        <v>2</v>
      </c>
      <c r="I26" s="6" t="n">
        <v>64</v>
      </c>
      <c r="J26" s="7" t="n">
        <v>15.23</v>
      </c>
      <c r="K26" s="5" t="inlineStr">
        <is>
          <t>No</t>
        </is>
      </c>
      <c r="L26" s="5" t="inlineStr">
        <is>
          <t>No</t>
        </is>
      </c>
      <c r="M26" s="5" t="inlineStr">
        <is>
          <t>UNKNOWN</t>
        </is>
      </c>
      <c r="N26" s="5" t="inlineStr">
        <is>
          <t>MEDIUM · conf. low</t>
        </is>
      </c>
      <c r="O26" s="6" t="n">
        <v>60</v>
      </c>
      <c r="P26" s="8" t="inlineStr">
        <is>
          <t>Av. Ejemplo 214 (DEMO) · park 108 m, Malecón 251 m</t>
        </is>
      </c>
      <c r="Q26" s="5" t="inlineStr">
        <is>
          <t>UNKNOWN</t>
        </is>
      </c>
      <c r="R26" s="5" t="inlineStr">
        <is>
          <t>UNKNOWN</t>
        </is>
      </c>
      <c r="S26" s="8" t="inlineStr">
        <is>
          <t>building security/controlled access</t>
        </is>
      </c>
      <c r="T26" s="8" t="inlineStr">
        <is>
          <t>listing says the unit faces an avenue</t>
        </is>
      </c>
      <c r="U26" s="5" t="inlineStr">
        <is>
          <t>Urbania</t>
        </is>
      </c>
      <c r="V26" s="10" t="inlineStr">
        <is>
          <t>View listing</t>
        </is>
      </c>
      <c r="W26" s="5" t="inlineStr">
        <is>
          <t>—</t>
        </is>
      </c>
      <c r="X26" s="10" t="inlineStr">
        <is>
          <t>Open map</t>
        </is>
      </c>
      <c r="Y26" s="5" t="inlineStr">
        <is>
          <t>PROGRAMMATIC_PASS</t>
        </is>
      </c>
    </row>
    <row r="27">
      <c r="A27" s="5" t="inlineStr">
        <is>
          <t>ALTERNATIVE</t>
        </is>
      </c>
      <c r="B27" s="6" t="n">
        <v>23</v>
      </c>
      <c r="C27" s="7" t="n">
        <v>65.90000000000001</v>
      </c>
      <c r="D27" s="8" t="inlineStr">
        <is>
          <t>1BR · 62 m² — Calle Ejemplo 118 (DEMO)</t>
        </is>
      </c>
      <c r="E27" s="9" t="n">
        <v>790</v>
      </c>
      <c r="F27" s="5" t="inlineStr">
        <is>
          <t>S/ 300 (≈ USD 89)</t>
        </is>
      </c>
      <c r="G27" s="9" t="n">
        <v>878.63</v>
      </c>
      <c r="H27" s="6" t="n">
        <v>1</v>
      </c>
      <c r="I27" s="6" t="n">
        <v>62</v>
      </c>
      <c r="J27" s="7" t="n">
        <v>12.74</v>
      </c>
      <c r="K27" s="5" t="inlineStr">
        <is>
          <t>Yes</t>
        </is>
      </c>
      <c r="L27" s="5" t="inlineStr">
        <is>
          <t>UNKNOWN</t>
        </is>
      </c>
      <c r="M27" s="5" t="inlineStr">
        <is>
          <t>UNKNOWN</t>
        </is>
      </c>
      <c r="N27" s="5" t="inlineStr">
        <is>
          <t>HIGH · conf. high</t>
        </is>
      </c>
      <c r="O27" s="6" t="n">
        <v>28</v>
      </c>
      <c r="P27" s="8" t="inlineStr">
        <is>
          <t>Calle Ejemplo 118 (DEMO) · bus/Metropolitano stop 129 m</t>
        </is>
      </c>
      <c r="Q27" s="5" t="inlineStr">
        <is>
          <t>UNKNOWN</t>
        </is>
      </c>
      <c r="R27" s="5" t="inlineStr">
        <is>
          <t>UNKNOWN</t>
        </is>
      </c>
      <c r="S27" s="8" t="inlineStr">
        <is>
          <t>62 m² built area — very spacious for a 1-bedroom; USD 12.7/m² (excellent value vs other 1BR in sample); furnished</t>
        </is>
      </c>
      <c r="T27" s="8" t="inlineStr">
        <is>
          <t>high estimated noise: 61 m from Av. Demo Arterial (DEMO) (major road)</t>
        </is>
      </c>
      <c r="U27" s="5" t="inlineStr">
        <is>
          <t>Urbania</t>
        </is>
      </c>
      <c r="V27" s="10" t="inlineStr">
        <is>
          <t>View listing</t>
        </is>
      </c>
      <c r="W27" s="5" t="inlineStr">
        <is>
          <t>—</t>
        </is>
      </c>
      <c r="X27" s="10" t="inlineStr">
        <is>
          <t>Open map</t>
        </is>
      </c>
      <c r="Y27" s="5" t="inlineStr">
        <is>
          <t>PROGRAMMATIC_PASS</t>
        </is>
      </c>
    </row>
    <row r="28">
      <c r="A28" s="5" t="inlineStr">
        <is>
          <t>ALTERNATIVE</t>
        </is>
      </c>
      <c r="B28" s="6" t="n">
        <v>24</v>
      </c>
      <c r="C28" s="7" t="n">
        <v>64.3</v>
      </c>
      <c r="D28" s="8" t="inlineStr">
        <is>
          <t>1BR · 66 m² — Av. Ejemplo 204 (DEMO)</t>
        </is>
      </c>
      <c r="E28" s="9" t="n">
        <v>679.47</v>
      </c>
      <c r="F28" s="5" t="inlineStr">
        <is>
          <t>S/ 420 (≈ USD 124)</t>
        </is>
      </c>
      <c r="G28" s="9" t="n">
        <v>803.55</v>
      </c>
      <c r="H28" s="6" t="n">
        <v>1</v>
      </c>
      <c r="I28" s="6" t="n">
        <v>66</v>
      </c>
      <c r="J28" s="7" t="n">
        <v>10.29</v>
      </c>
      <c r="K28" s="5" t="inlineStr">
        <is>
          <t>Yes</t>
        </is>
      </c>
      <c r="L28" s="5" t="inlineStr">
        <is>
          <t>No</t>
        </is>
      </c>
      <c r="M28" s="5" t="inlineStr">
        <is>
          <t>UNKNOWN</t>
        </is>
      </c>
      <c r="N28" s="5" t="inlineStr">
        <is>
          <t>HIGH · conf. high</t>
        </is>
      </c>
      <c r="O28" s="6" t="n">
        <v>24</v>
      </c>
      <c r="P28" s="8" t="inlineStr">
        <is>
          <t>Av. Ejemplo 204 (DEMO) · bus/Metropolitano stop 184 m</t>
        </is>
      </c>
      <c r="Q28" s="5" t="inlineStr">
        <is>
          <t>12 months min.</t>
        </is>
      </c>
      <c r="R28" s="8" t="inlineStr">
        <is>
          <t>2 months deposit; 1 in advance</t>
        </is>
      </c>
      <c r="S28" s="8" t="inlineStr">
        <is>
          <t>66 m² built area — very spacious for a 1-bedroom; interior-facing; acoustic/double-glazed windows</t>
        </is>
      </c>
      <c r="T28" s="8" t="inlineStr">
        <is>
          <t>high estimated noise: 48 m from Av. Demo Arterial (DEMO) (major road)</t>
        </is>
      </c>
      <c r="U28" s="5" t="inlineStr">
        <is>
          <t>Urbania</t>
        </is>
      </c>
      <c r="V28" s="10" t="inlineStr">
        <is>
          <t>View listing</t>
        </is>
      </c>
      <c r="W28" s="5" t="inlineStr">
        <is>
          <t>—</t>
        </is>
      </c>
      <c r="X28" s="10" t="inlineStr">
        <is>
          <t>Open map</t>
        </is>
      </c>
      <c r="Y28" s="5" t="inlineStr">
        <is>
          <t>PROGRAMMATIC_PASS</t>
        </is>
      </c>
    </row>
    <row r="29">
      <c r="A29" s="5" t="inlineStr">
        <is>
          <t>ALTERNATIVE</t>
        </is>
      </c>
      <c r="B29" s="6" t="n">
        <v>25</v>
      </c>
      <c r="C29" s="7" t="n">
        <v>56.5</v>
      </c>
      <c r="D29" s="8" t="inlineStr">
        <is>
          <t>2BR · 93 m² — Calle Ejemplo 133 (DEMO)</t>
        </is>
      </c>
      <c r="E29" s="9" t="n">
        <v>960</v>
      </c>
      <c r="F29" s="5" t="inlineStr">
        <is>
          <t>S/ 420 (≈ USD 124)</t>
        </is>
      </c>
      <c r="G29" s="9" t="n">
        <v>1084.08</v>
      </c>
      <c r="H29" s="6" t="n">
        <v>2</v>
      </c>
      <c r="I29" s="6" t="n">
        <v>93</v>
      </c>
      <c r="J29" s="7" t="n">
        <v>10.32</v>
      </c>
      <c r="K29" s="5" t="inlineStr">
        <is>
          <t>Yes</t>
        </is>
      </c>
      <c r="L29" s="5" t="inlineStr">
        <is>
          <t>UNKNOWN</t>
        </is>
      </c>
      <c r="M29" s="5" t="inlineStr">
        <is>
          <t>UNKNOWN</t>
        </is>
      </c>
      <c r="N29" s="5" t="inlineStr">
        <is>
          <t>HIGH · conf. high</t>
        </is>
      </c>
      <c r="O29" s="6" t="n">
        <v>22</v>
      </c>
      <c r="P29" s="8" t="inlineStr">
        <is>
          <t>Calle Ejemplo 133 (DEMO) · bus/Metropolitano stop 207 m</t>
        </is>
      </c>
      <c r="Q29" s="5" t="inlineStr">
        <is>
          <t>12 months min.</t>
        </is>
      </c>
      <c r="R29" s="5" t="inlineStr">
        <is>
          <t>2 months deposit</t>
        </is>
      </c>
      <c r="S29" s="8" t="inlineStr">
        <is>
          <t>93 m² built area — very spacious for a 2-bedroom; USD 10.3/m² (good value vs other 2BR in sample); furnished</t>
        </is>
      </c>
      <c r="T29" s="8" t="inlineStr">
        <is>
          <t>high estimated noise: 95 m from Av. Demo Arterial (DEMO) (major road)</t>
        </is>
      </c>
      <c r="U29" s="5" t="inlineStr">
        <is>
          <t>Adondevivir</t>
        </is>
      </c>
      <c r="V29" s="10" t="inlineStr">
        <is>
          <t>View listing</t>
        </is>
      </c>
      <c r="W29" s="5" t="inlineStr">
        <is>
          <t>—</t>
        </is>
      </c>
      <c r="X29" s="10" t="inlineStr">
        <is>
          <t>Open map</t>
        </is>
      </c>
      <c r="Y29" s="5" t="inlineStr">
        <is>
          <t>PROGRAMMATIC_PASS</t>
        </is>
      </c>
    </row>
    <row r="30">
      <c r="A30" s="5" t="inlineStr">
        <is>
          <t>ALTERNATIVE</t>
        </is>
      </c>
      <c r="B30" s="6" t="n">
        <v>26</v>
      </c>
      <c r="C30" s="7" t="n">
        <v>44.1</v>
      </c>
      <c r="D30" s="8" t="inlineStr">
        <is>
          <t>1BR · 50 m² — Av. Ejemplo 232 (DEMO)</t>
        </is>
      </c>
      <c r="E30" s="9" t="n">
        <v>989.66</v>
      </c>
      <c r="F30" s="5" t="inlineStr">
        <is>
          <t>UNKNOWN</t>
        </is>
      </c>
      <c r="G30" s="5" t="inlineStr">
        <is>
          <t>UNKNOWN</t>
        </is>
      </c>
      <c r="H30" s="6" t="n">
        <v>1</v>
      </c>
      <c r="I30" s="6" t="n">
        <v>50</v>
      </c>
      <c r="J30" s="7" t="n">
        <v>19.79</v>
      </c>
      <c r="K30" s="5" t="inlineStr">
        <is>
          <t>UNKNOWN</t>
        </is>
      </c>
      <c r="L30" s="5" t="inlineStr">
        <is>
          <t>Yes (1)</t>
        </is>
      </c>
      <c r="M30" s="5" t="inlineStr">
        <is>
          <t>UNKNOWN</t>
        </is>
      </c>
      <c r="N30" s="5" t="inlineStr">
        <is>
          <t>HIGH · conf. high</t>
        </is>
      </c>
      <c r="O30" s="6" t="n">
        <v>0</v>
      </c>
      <c r="P30" s="8" t="inlineStr">
        <is>
          <t>Av. Ejemplo 232 (DEMO) · bus/Metropolitano stop 45 m</t>
        </is>
      </c>
      <c r="Q30" s="5" t="inlineStr">
        <is>
          <t>UNKNOWN</t>
        </is>
      </c>
      <c r="R30" s="5" t="inlineStr">
        <is>
          <t>UNKNOWN</t>
        </is>
      </c>
      <c r="S30" s="8" t="inlineStr">
        <is>
          <t>50 m² built area — good for a 1-bedroom; building security/controlled access</t>
        </is>
      </c>
      <c r="T30" s="8" t="inlineStr">
        <is>
          <t>high estimated noise: 7 m from Av. Demo Arterial (DEMO) (major road)</t>
        </is>
      </c>
      <c r="U30" s="5" t="inlineStr">
        <is>
          <t>Urbania</t>
        </is>
      </c>
      <c r="V30" s="10" t="inlineStr">
        <is>
          <t>View listing</t>
        </is>
      </c>
      <c r="W30" s="5" t="inlineStr">
        <is>
          <t>—</t>
        </is>
      </c>
      <c r="X30" s="10" t="inlineStr">
        <is>
          <t>Open map</t>
        </is>
      </c>
      <c r="Y30" s="5" t="inlineStr">
        <is>
          <t>PROGRAMMATIC_PASS</t>
        </is>
      </c>
    </row>
  </sheetData>
  <autoFilter ref="A4:Y30"/>
  <conditionalFormatting sqref="A5:Y30">
    <cfRule type="cellIs" priority="1" operator="equal" dxfId="0">
      <formula>"UNKNOWN"</formula>
    </cfRule>
    <cfRule type="expression" priority="2" dxfId="1" stopIfTrue="0">
      <formula>AND($A5="TOP 10",$B5&lt;=5)</formula>
    </cfRule>
    <cfRule type="expression" priority="9" dxfId="2">
      <formula>MOD(ROW(),2)=0</formula>
    </cfRule>
  </conditionalFormatting>
  <conditionalFormatting sqref="N5:N30">
    <cfRule type="expression" priority="3" dxfId="3" stopIfTrue="1">
      <formula>LEFT(N5,3)="LOW"</formula>
    </cfRule>
    <cfRule type="expression" priority="4" dxfId="4" stopIfTrue="1">
      <formula>LEFT(N5,6)="MEDIUM"</formula>
    </cfRule>
    <cfRule type="expression" priority="5" dxfId="5" stopIfTrue="1">
      <formula>LEFT(N5,4)="HIGH"</formula>
    </cfRule>
  </conditionalFormatting>
  <conditionalFormatting sqref="G5:G30">
    <cfRule type="cellIs" priority="6" operator="greaterThan" dxfId="6" stopIfTrue="1">
      <formula>1000</formula>
    </cfRule>
  </conditionalFormatting>
  <conditionalFormatting sqref="E5:E30">
    <cfRule type="cellIs" priority="7" operator="greaterThan" dxfId="6" stopIfTrue="1">
      <formula>1000</formula>
    </cfRule>
  </conditionalFormatting>
  <conditionalFormatting sqref="C5:C30">
    <cfRule type="cellIs" priority="8" operator="greaterThanOrEqual" dxfId="7">
      <formula>75</formula>
    </cfRule>
  </conditionalFormatting>
  <hyperlinks>
    <hyperlink xmlns:r="http://schemas.openxmlformats.org/officeDocument/2006/relationships" ref="V5" r:id="rId1"/>
    <hyperlink xmlns:r="http://schemas.openxmlformats.org/officeDocument/2006/relationships" ref="X5" r:id="rId2"/>
    <hyperlink xmlns:r="http://schemas.openxmlformats.org/officeDocument/2006/relationships" ref="V6" r:id="rId3"/>
    <hyperlink xmlns:r="http://schemas.openxmlformats.org/officeDocument/2006/relationships" ref="X6" r:id="rId4"/>
    <hyperlink xmlns:r="http://schemas.openxmlformats.org/officeDocument/2006/relationships" ref="V7" r:id="rId5"/>
    <hyperlink xmlns:r="http://schemas.openxmlformats.org/officeDocument/2006/relationships" ref="X7" r:id="rId6"/>
    <hyperlink xmlns:r="http://schemas.openxmlformats.org/officeDocument/2006/relationships" ref="V8" r:id="rId7"/>
    <hyperlink xmlns:r="http://schemas.openxmlformats.org/officeDocument/2006/relationships" ref="X8" r:id="rId8"/>
    <hyperlink xmlns:r="http://schemas.openxmlformats.org/officeDocument/2006/relationships" ref="V9" r:id="rId9"/>
    <hyperlink xmlns:r="http://schemas.openxmlformats.org/officeDocument/2006/relationships" ref="X9" r:id="rId10"/>
    <hyperlink xmlns:r="http://schemas.openxmlformats.org/officeDocument/2006/relationships" ref="V10" r:id="rId11"/>
    <hyperlink xmlns:r="http://schemas.openxmlformats.org/officeDocument/2006/relationships" ref="X10" r:id="rId12"/>
    <hyperlink xmlns:r="http://schemas.openxmlformats.org/officeDocument/2006/relationships" ref="V11" r:id="rId13"/>
    <hyperlink xmlns:r="http://schemas.openxmlformats.org/officeDocument/2006/relationships" ref="X11" r:id="rId14"/>
    <hyperlink xmlns:r="http://schemas.openxmlformats.org/officeDocument/2006/relationships" ref="V12" r:id="rId15"/>
    <hyperlink xmlns:r="http://schemas.openxmlformats.org/officeDocument/2006/relationships" ref="X12" r:id="rId16"/>
    <hyperlink xmlns:r="http://schemas.openxmlformats.org/officeDocument/2006/relationships" ref="V13" r:id="rId17"/>
    <hyperlink xmlns:r="http://schemas.openxmlformats.org/officeDocument/2006/relationships" ref="X13" r:id="rId18"/>
    <hyperlink xmlns:r="http://schemas.openxmlformats.org/officeDocument/2006/relationships" ref="V14" r:id="rId19"/>
    <hyperlink xmlns:r="http://schemas.openxmlformats.org/officeDocument/2006/relationships" ref="X14" r:id="rId20"/>
    <hyperlink xmlns:r="http://schemas.openxmlformats.org/officeDocument/2006/relationships" ref="V15" r:id="rId21"/>
    <hyperlink xmlns:r="http://schemas.openxmlformats.org/officeDocument/2006/relationships" ref="X15" r:id="rId22"/>
    <hyperlink xmlns:r="http://schemas.openxmlformats.org/officeDocument/2006/relationships" ref="V16" r:id="rId23"/>
    <hyperlink xmlns:r="http://schemas.openxmlformats.org/officeDocument/2006/relationships" ref="X16" r:id="rId24"/>
    <hyperlink xmlns:r="http://schemas.openxmlformats.org/officeDocument/2006/relationships" ref="V17" r:id="rId25"/>
    <hyperlink xmlns:r="http://schemas.openxmlformats.org/officeDocument/2006/relationships" ref="X17" r:id="rId26"/>
    <hyperlink xmlns:r="http://schemas.openxmlformats.org/officeDocument/2006/relationships" ref="V18" r:id="rId27"/>
    <hyperlink xmlns:r="http://schemas.openxmlformats.org/officeDocument/2006/relationships" ref="X18" r:id="rId28"/>
    <hyperlink xmlns:r="http://schemas.openxmlformats.org/officeDocument/2006/relationships" ref="V19" r:id="rId29"/>
    <hyperlink xmlns:r="http://schemas.openxmlformats.org/officeDocument/2006/relationships" ref="X19" r:id="rId30"/>
    <hyperlink xmlns:r="http://schemas.openxmlformats.org/officeDocument/2006/relationships" ref="V20" r:id="rId31"/>
    <hyperlink xmlns:r="http://schemas.openxmlformats.org/officeDocument/2006/relationships" ref="X20" r:id="rId32"/>
    <hyperlink xmlns:r="http://schemas.openxmlformats.org/officeDocument/2006/relationships" ref="V21" r:id="rId33"/>
    <hyperlink xmlns:r="http://schemas.openxmlformats.org/officeDocument/2006/relationships" ref="X21" r:id="rId34"/>
    <hyperlink xmlns:r="http://schemas.openxmlformats.org/officeDocument/2006/relationships" ref="V22" r:id="rId35"/>
    <hyperlink xmlns:r="http://schemas.openxmlformats.org/officeDocument/2006/relationships" ref="X22" r:id="rId36"/>
    <hyperlink xmlns:r="http://schemas.openxmlformats.org/officeDocument/2006/relationships" ref="V23" r:id="rId37"/>
    <hyperlink xmlns:r="http://schemas.openxmlformats.org/officeDocument/2006/relationships" ref="X23" r:id="rId38"/>
    <hyperlink xmlns:r="http://schemas.openxmlformats.org/officeDocument/2006/relationships" ref="V24" r:id="rId39"/>
    <hyperlink xmlns:r="http://schemas.openxmlformats.org/officeDocument/2006/relationships" ref="X24" r:id="rId40"/>
    <hyperlink xmlns:r="http://schemas.openxmlformats.org/officeDocument/2006/relationships" ref="V25" r:id="rId41"/>
    <hyperlink xmlns:r="http://schemas.openxmlformats.org/officeDocument/2006/relationships" ref="X25" r:id="rId42"/>
    <hyperlink xmlns:r="http://schemas.openxmlformats.org/officeDocument/2006/relationships" ref="V26" r:id="rId43"/>
    <hyperlink xmlns:r="http://schemas.openxmlformats.org/officeDocument/2006/relationships" ref="X26" r:id="rId44"/>
    <hyperlink xmlns:r="http://schemas.openxmlformats.org/officeDocument/2006/relationships" ref="V27" r:id="rId45"/>
    <hyperlink xmlns:r="http://schemas.openxmlformats.org/officeDocument/2006/relationships" ref="X27" r:id="rId46"/>
    <hyperlink xmlns:r="http://schemas.openxmlformats.org/officeDocument/2006/relationships" ref="V28" r:id="rId47"/>
    <hyperlink xmlns:r="http://schemas.openxmlformats.org/officeDocument/2006/relationships" ref="X28" r:id="rId48"/>
    <hyperlink xmlns:r="http://schemas.openxmlformats.org/officeDocument/2006/relationships" ref="V29" r:id="rId49"/>
    <hyperlink xmlns:r="http://schemas.openxmlformats.org/officeDocument/2006/relationships" ref="X29" r:id="rId50"/>
    <hyperlink xmlns:r="http://schemas.openxmlformats.org/officeDocument/2006/relationships" ref="V30" r:id="rId51"/>
    <hyperlink xmlns:r="http://schemas.openxmlformats.org/officeDocument/2006/relationships" ref="X30" r:id="rId52"/>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C30"/>
  <sheetViews>
    <sheetView zoomScale="10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34" customWidth="1" min="3" max="3"/>
    <col width="11" customWidth="1" min="4" max="4"/>
    <col width="30" customWidth="1" min="5" max="5"/>
    <col width="11" customWidth="1" min="6" max="6"/>
    <col width="13" customWidth="1" min="7" max="7"/>
    <col width="11" customWidth="1" min="8" max="8"/>
    <col width="10" customWidth="1" min="9" max="9"/>
    <col width="16" customWidth="1" min="10" max="10"/>
    <col width="11" customWidth="1" min="11" max="11"/>
    <col width="11" customWidth="1" min="12" max="12"/>
    <col width="8" customWidth="1" min="13" max="13"/>
    <col width="8" customWidth="1" min="14" max="14"/>
    <col width="8" customWidth="1" min="15" max="15"/>
    <col width="8" customWidth="1" min="16" max="16"/>
    <col width="12" customWidth="1" min="17" max="17"/>
    <col width="8" customWidth="1" min="18" max="18"/>
    <col width="18" customWidth="1" min="19" max="19"/>
    <col width="10" customWidth="1" min="20" max="20"/>
    <col width="9" customWidth="1" min="21" max="21"/>
    <col width="7" customWidth="1" min="22" max="22"/>
    <col width="9" customWidth="1" min="23" max="23"/>
    <col width="8" customWidth="1" min="24" max="24"/>
    <col width="8" customWidth="1" min="25" max="25"/>
    <col width="8" customWidth="1" min="26" max="26"/>
    <col width="7" customWidth="1" min="27" max="27"/>
    <col width="8" customWidth="1" min="28" max="28"/>
    <col width="14" customWidth="1" min="29" max="29"/>
    <col width="9" customWidth="1" min="30" max="30"/>
    <col width="50" customWidth="1" min="31" max="31"/>
    <col width="10" customWidth="1" min="32" max="32"/>
    <col width="10" customWidth="1" min="33" max="33"/>
    <col width="8" customWidth="1" min="34" max="34"/>
    <col width="30" customWidth="1" min="35" max="35"/>
    <col width="12" customWidth="1" min="36" max="36"/>
    <col width="14" customWidth="1" min="37" max="37"/>
    <col width="14" customWidth="1" min="38" max="38"/>
    <col width="11" customWidth="1" min="39" max="39"/>
    <col width="14" customWidth="1" min="40" max="40"/>
    <col width="40" customWidth="1" min="41" max="41"/>
    <col width="36" customWidth="1" min="42" max="42"/>
    <col width="40" customWidth="1" min="43" max="43"/>
    <col width="20" customWidth="1" min="44" max="44"/>
    <col width="14" customWidth="1" min="45" max="45"/>
    <col width="14" customWidth="1" min="46" max="46"/>
    <col width="7" customWidth="1" min="47" max="47"/>
    <col width="9" customWidth="1" min="48" max="48"/>
    <col width="24" customWidth="1" min="49" max="49"/>
    <col width="12" customWidth="1" min="50" max="50"/>
    <col width="14" customWidth="1" min="51" max="51"/>
    <col width="10" customWidth="1" min="52" max="52"/>
    <col width="16" customWidth="1" min="53" max="53"/>
    <col width="18" customWidth="1" min="54" max="54"/>
    <col width="30" customWidth="1" min="55" max="55"/>
  </cols>
  <sheetData>
    <row r="1">
      <c r="A1" s="1" t="inlineStr">
        <is>
          <t>All budget-compliant Miraflores matches</t>
        </is>
      </c>
    </row>
    <row r="2">
      <c r="A2" s="2" t="inlineStr">
        <is>
          <t>Generated 2026-09-24T17:45:06-05:00 · FX 1 USD = S/ 3.385 (fallback)</t>
        </is>
      </c>
    </row>
    <row r="3">
      <c r="A3" s="3" t="inlineStr">
        <is>
          <t>SYNTHETIC DEMO DATA — FORMAT PREVIEW ONLY — THESE ARE NOT REAL LISTINGS</t>
        </is>
      </c>
    </row>
    <row r="4" ht="30" customHeight="1">
      <c r="A4" s="4" t="inlineStr">
        <is>
          <t>Rank</t>
        </is>
      </c>
      <c r="B4" s="4" t="inlineStr">
        <is>
          <t>Fit Score</t>
        </is>
      </c>
      <c r="C4" s="4" t="inlineStr">
        <is>
          <t>Property</t>
        </is>
      </c>
      <c r="D4" s="4" t="inlineStr">
        <is>
          <t>Category</t>
        </is>
      </c>
      <c r="E4" s="4" t="inlineStr">
        <is>
          <t>Why in this sheet</t>
        </is>
      </c>
      <c r="F4" s="4" t="inlineStr">
        <is>
          <t>Monthly Rent USD</t>
        </is>
      </c>
      <c r="G4" s="4" t="inlineStr">
        <is>
          <t>Rent as published</t>
        </is>
      </c>
      <c r="H4" s="4" t="inlineStr">
        <is>
          <t>Rent USD basis</t>
        </is>
      </c>
      <c r="I4" s="4" t="inlineStr">
        <is>
          <t>Rent PEN</t>
        </is>
      </c>
      <c r="J4" s="4" t="inlineStr">
        <is>
          <t>Maintenance</t>
        </is>
      </c>
      <c r="K4" s="4" t="inlineStr">
        <is>
          <t>Maintenance basis</t>
        </is>
      </c>
      <c r="L4" s="4" t="inlineStr">
        <is>
          <t>Estimated Total USD</t>
        </is>
      </c>
      <c r="M4" s="4" t="inlineStr">
        <is>
          <t>Bedrooms</t>
        </is>
      </c>
      <c r="N4" s="4" t="inlineStr">
        <is>
          <t>Bathrooms</t>
        </is>
      </c>
      <c r="O4" s="4" t="inlineStr">
        <is>
          <t>Area m²</t>
        </is>
      </c>
      <c r="P4" s="4" t="inlineStr">
        <is>
          <t>Area basis</t>
        </is>
      </c>
      <c r="Q4" s="4" t="inlineStr">
        <is>
          <t>Space band</t>
        </is>
      </c>
      <c r="R4" s="4" t="inlineStr">
        <is>
          <t>USD/m²</t>
        </is>
      </c>
      <c r="S4" s="4" t="inlineStr">
        <is>
          <t>Value band</t>
        </is>
      </c>
      <c r="T4" s="4" t="inlineStr">
        <is>
          <t>Furnished</t>
        </is>
      </c>
      <c r="U4" s="4" t="inlineStr">
        <is>
          <t>Parking</t>
        </is>
      </c>
      <c r="V4" s="4" t="inlineStr">
        <is>
          <t>Floor</t>
        </is>
      </c>
      <c r="W4" s="4" t="inlineStr">
        <is>
          <t>Balcony/Terrace</t>
        </is>
      </c>
      <c r="X4" s="4" t="inlineStr">
        <is>
          <t>Laundry</t>
        </is>
      </c>
      <c r="Y4" s="4" t="inlineStr">
        <is>
          <t>Elevator</t>
        </is>
      </c>
      <c r="Z4" s="4" t="inlineStr">
        <is>
          <t>Security</t>
        </is>
      </c>
      <c r="AA4" s="4" t="inlineStr">
        <is>
          <t>Pets</t>
        </is>
      </c>
      <c r="AB4" s="4" t="inlineStr">
        <is>
          <t>Interior view</t>
        </is>
      </c>
      <c r="AC4" s="4" t="inlineStr">
        <is>
          <t>Noise Risk</t>
        </is>
      </c>
      <c r="AD4" s="4" t="inlineStr">
        <is>
          <t>Quietness Score</t>
        </is>
      </c>
      <c r="AE4" s="4" t="inlineStr">
        <is>
          <t>Quietness evidence</t>
        </is>
      </c>
      <c r="AF4" s="4" t="inlineStr">
        <is>
          <t>Nearest major road (m)</t>
        </is>
      </c>
      <c r="AG4" s="4" t="inlineStr">
        <is>
          <t>Nearest nightclub (m)</t>
        </is>
      </c>
      <c r="AH4" s="4" t="inlineStr">
        <is>
          <t>Bars ≤150 m</t>
        </is>
      </c>
      <c r="AI4" s="4" t="inlineStr">
        <is>
          <t>Daily needs nearby</t>
        </is>
      </c>
      <c r="AJ4" s="4" t="inlineStr">
        <is>
          <t>Contract</t>
        </is>
      </c>
      <c r="AK4" s="4" t="inlineStr">
        <is>
          <t>Deposit</t>
        </is>
      </c>
      <c r="AL4" s="4" t="inlineStr">
        <is>
          <t>Utilities included</t>
        </is>
      </c>
      <c r="AM4" s="4" t="inlineStr">
        <is>
          <t>Published</t>
        </is>
      </c>
      <c r="AN4" s="4" t="inlineStr">
        <is>
          <t>Active status</t>
        </is>
      </c>
      <c r="AO4" s="4" t="inlineStr">
        <is>
          <t>Main Advantage</t>
        </is>
      </c>
      <c r="AP4" s="4" t="inlineStr">
        <is>
          <t>Main Drawback</t>
        </is>
      </c>
      <c r="AQ4" s="4" t="inlineStr">
        <is>
          <t>Red flags</t>
        </is>
      </c>
      <c r="AR4" s="4" t="inlineStr">
        <is>
          <t>Agency / agent</t>
        </is>
      </c>
      <c r="AS4" s="4" t="inlineStr">
        <is>
          <t>Phone</t>
        </is>
      </c>
      <c r="AT4" s="4" t="inlineStr">
        <is>
          <t>Source</t>
        </is>
      </c>
      <c r="AU4" s="4" t="inlineStr">
        <is>
          <t># Sources</t>
        </is>
      </c>
      <c r="AV4" s="4" t="inlineStr">
        <is>
          <t>Duplicate group</t>
        </is>
      </c>
      <c r="AW4" s="4" t="inlineStr">
        <is>
          <t>Duplicate conflicts</t>
        </is>
      </c>
      <c r="AX4" s="4" t="inlineStr">
        <is>
          <t>View Listing</t>
        </is>
      </c>
      <c r="AY4" s="4" t="inlineStr">
        <is>
          <t>WhatsApp</t>
        </is>
      </c>
      <c r="AZ4" s="4" t="inlineStr">
        <is>
          <t>Map</t>
        </is>
      </c>
      <c r="BA4" s="4" t="inlineStr">
        <is>
          <t>Location source</t>
        </is>
      </c>
      <c r="BB4" s="4" t="inlineStr">
        <is>
          <t>QA Status</t>
        </is>
      </c>
      <c r="BC4" s="4" t="inlineStr">
        <is>
          <t>QA notes</t>
        </is>
      </c>
    </row>
    <row r="5">
      <c r="A5" s="6" t="n">
        <v>1</v>
      </c>
      <c r="B5" s="7" t="n">
        <v>79.8</v>
      </c>
      <c r="C5" s="8" t="inlineStr">
        <is>
          <t>2BR · 72 m² — Calle Ejemplo 109 (DEMO)</t>
        </is>
      </c>
      <c r="D5" s="5" t="inlineStr">
        <is>
          <t>PRIMARY</t>
        </is>
      </c>
      <c r="E5" s="5" t="inlineStr"/>
      <c r="F5" s="9" t="n">
        <v>860</v>
      </c>
      <c r="G5" s="5" t="inlineStr">
        <is>
          <t>USD 860</t>
        </is>
      </c>
      <c r="H5" s="5" t="inlineStr">
        <is>
          <t>PUBLISHED</t>
        </is>
      </c>
      <c r="I5" s="11" t="n">
        <v>2911.1</v>
      </c>
      <c r="J5" s="5" t="inlineStr">
        <is>
          <t>S/ 250 (≈ USD 74)</t>
        </is>
      </c>
      <c r="K5" s="5" t="inlineStr">
        <is>
          <t>PUBLISHED</t>
        </is>
      </c>
      <c r="L5" s="9" t="n">
        <v>933.86</v>
      </c>
      <c r="M5" s="6" t="n">
        <v>2</v>
      </c>
      <c r="N5" s="12" t="n">
        <v>1.5</v>
      </c>
      <c r="O5" s="6" t="n">
        <v>72</v>
      </c>
      <c r="P5" s="5" t="inlineStr">
        <is>
          <t>built</t>
        </is>
      </c>
      <c r="Q5" s="5" t="inlineStr">
        <is>
          <t>GOOD</t>
        </is>
      </c>
      <c r="R5" s="7" t="n">
        <v>11.94</v>
      </c>
      <c r="S5" s="5" t="inlineStr">
        <is>
          <t>GOOD_VALUE</t>
        </is>
      </c>
      <c r="T5" s="5" t="inlineStr">
        <is>
          <t>Semi</t>
        </is>
      </c>
      <c r="U5" s="5" t="inlineStr">
        <is>
          <t>UNKNOWN</t>
        </is>
      </c>
      <c r="V5" s="5" t="inlineStr">
        <is>
          <t>UNKNOWN</t>
        </is>
      </c>
      <c r="W5" s="5" t="inlineStr">
        <is>
          <t>UNKNOWN</t>
        </is>
      </c>
      <c r="X5" s="5" t="inlineStr">
        <is>
          <t>Yes</t>
        </is>
      </c>
      <c r="Y5" s="5" t="inlineStr">
        <is>
          <t>Yes</t>
        </is>
      </c>
      <c r="Z5" s="5" t="inlineStr">
        <is>
          <t>Yes</t>
        </is>
      </c>
      <c r="AA5" s="5" t="inlineStr">
        <is>
          <t>UNKNOWN</t>
        </is>
      </c>
      <c r="AB5" s="5" t="inlineStr">
        <is>
          <t>Yes</t>
        </is>
      </c>
      <c r="AC5" s="5" t="inlineStr">
        <is>
          <t>LOW · conf. high</t>
        </is>
      </c>
      <c r="AD5" s="6" t="n">
        <v>97</v>
      </c>
      <c r="AE5" s="8" t="inlineStr">
        <is>
          <t>Nearest major road (Av. Demo Arterial (DEMO)) 897 m away; no nightclub mapped within 500 m; listing says interior-facing / contrafrente; acoustic / double-glazed windows mentioned; seller describes the street as quiet (unverified claim). Quietness estimate: high confidence.</t>
        </is>
      </c>
      <c r="AF5" s="6" t="n">
        <v>897</v>
      </c>
      <c r="AG5" s="6" t="n">
        <v>1711</v>
      </c>
      <c r="AH5" s="6" t="n">
        <v>0</v>
      </c>
      <c r="AI5" s="8" t="inlineStr">
        <is>
          <t>supermarket 349 m, pharmacy 351 m</t>
        </is>
      </c>
      <c r="AJ5" s="5" t="inlineStr">
        <is>
          <t>12 months min.</t>
        </is>
      </c>
      <c r="AK5" s="8" t="inlineStr">
        <is>
          <t>2 months deposit; 1 in advance</t>
        </is>
      </c>
      <c r="AL5" s="5" t="inlineStr">
        <is>
          <t>UNKNOWN</t>
        </is>
      </c>
      <c r="AM5" s="5" t="inlineStr">
        <is>
          <t>2026-09-08</t>
        </is>
      </c>
      <c r="AN5" s="5" t="inlineStr">
        <is>
          <t>LIKELY_ACTIVE</t>
        </is>
      </c>
      <c r="AO5" s="8" t="inlineStr">
        <is>
          <t>72 m² built area — good for a 2-bedroom; low estimated noise (97/100); interior-facing</t>
        </is>
      </c>
      <c r="AP5" s="8" t="inlineStr">
        <is>
          <t>no major drawback identified from listing data</t>
        </is>
      </c>
      <c r="AQ5" s="5" t="inlineStr"/>
      <c r="AR5" s="8" t="inlineStr">
        <is>
          <t>DEMO Inmobiliaria E</t>
        </is>
      </c>
      <c r="AS5" s="5" t="inlineStr">
        <is>
          <t>+5110001009</t>
        </is>
      </c>
      <c r="AT5" s="5" t="inlineStr">
        <is>
          <t>Adondevivir</t>
        </is>
      </c>
      <c r="AU5" s="6" t="n">
        <v>1</v>
      </c>
      <c r="AV5" s="5" t="inlineStr">
        <is>
          <t>G0010</t>
        </is>
      </c>
      <c r="AW5" s="5" t="inlineStr"/>
      <c r="AX5" s="10" t="inlineStr">
        <is>
          <t>View listing</t>
        </is>
      </c>
      <c r="AY5" s="5" t="inlineStr">
        <is>
          <t>—</t>
        </is>
      </c>
      <c r="AZ5" s="10" t="inlineStr">
        <is>
          <t>Open map</t>
        </is>
      </c>
      <c r="BA5" s="5" t="inlineStr">
        <is>
          <t>LISTING / EXACT</t>
        </is>
      </c>
      <c r="BB5" s="5" t="inlineStr">
        <is>
          <t>PROGRAMMATIC_PASS</t>
        </is>
      </c>
      <c r="BC5" s="5" t="inlineStr"/>
    </row>
    <row r="6">
      <c r="A6" s="6" t="n">
        <v>2</v>
      </c>
      <c r="B6" s="7" t="n">
        <v>77.3</v>
      </c>
      <c r="C6" s="8" t="inlineStr">
        <is>
          <t>1BR · 58 m² — Calle Ejemplo 100 (DEMO)</t>
        </is>
      </c>
      <c r="D6" s="5" t="inlineStr">
        <is>
          <t>PRIMARY</t>
        </is>
      </c>
      <c r="E6" s="5" t="inlineStr"/>
      <c r="F6" s="9" t="n">
        <v>870</v>
      </c>
      <c r="G6" s="5" t="inlineStr">
        <is>
          <t>USD 870</t>
        </is>
      </c>
      <c r="H6" s="5" t="inlineStr">
        <is>
          <t>PUBLISHED</t>
        </is>
      </c>
      <c r="I6" s="11" t="n">
        <v>2944.95</v>
      </c>
      <c r="J6" s="5" t="inlineStr">
        <is>
          <t>S/ 420 (≈ USD 124)</t>
        </is>
      </c>
      <c r="K6" s="5" t="inlineStr">
        <is>
          <t>PUBLISHED</t>
        </is>
      </c>
      <c r="L6" s="9" t="n">
        <v>994.08</v>
      </c>
      <c r="M6" s="6" t="n">
        <v>1</v>
      </c>
      <c r="N6" s="12" t="n">
        <v>2</v>
      </c>
      <c r="O6" s="6" t="n">
        <v>58</v>
      </c>
      <c r="P6" s="5" t="inlineStr">
        <is>
          <t>built</t>
        </is>
      </c>
      <c r="Q6" s="5" t="inlineStr">
        <is>
          <t>GOOD</t>
        </is>
      </c>
      <c r="R6" s="7" t="n">
        <v>15</v>
      </c>
      <c r="S6" s="5" t="inlineStr">
        <is>
          <t>GOOD_VALUE</t>
        </is>
      </c>
      <c r="T6" s="5" t="inlineStr">
        <is>
          <t>Yes</t>
        </is>
      </c>
      <c r="U6" s="5" t="inlineStr">
        <is>
          <t>UNKNOWN</t>
        </is>
      </c>
      <c r="V6" s="5" t="n">
        <v>9</v>
      </c>
      <c r="W6" s="5" t="inlineStr">
        <is>
          <t>Yes</t>
        </is>
      </c>
      <c r="X6" s="5" t="inlineStr">
        <is>
          <t>UNKNOWN</t>
        </is>
      </c>
      <c r="Y6" s="5" t="inlineStr">
        <is>
          <t>Yes</t>
        </is>
      </c>
      <c r="Z6" s="5" t="inlineStr">
        <is>
          <t>Yes</t>
        </is>
      </c>
      <c r="AA6" s="5" t="inlineStr">
        <is>
          <t>UNKNOWN</t>
        </is>
      </c>
      <c r="AB6" s="5" t="inlineStr">
        <is>
          <t>UNKNOWN</t>
        </is>
      </c>
      <c r="AC6" s="5" t="inlineStr">
        <is>
          <t>LOW · conf. medium</t>
        </is>
      </c>
      <c r="AD6" s="6" t="n">
        <v>75</v>
      </c>
      <c r="AE6" s="8" t="inlineStr">
        <is>
          <t>Nearest major road (Av. Demo Arterial (DEMO)) 1823 m away; no nightclub mapped within 500 m; high floor (9). Quietness estimate: medium confidence.</t>
        </is>
      </c>
      <c r="AF6" s="6" t="n">
        <v>1823</v>
      </c>
      <c r="AG6" s="6" t="n">
        <v>2036</v>
      </c>
      <c r="AH6" s="6" t="n">
        <v>0</v>
      </c>
      <c r="AI6" s="8" t="inlineStr">
        <is>
          <t>park 0 m, Malecón 408 m</t>
        </is>
      </c>
      <c r="AJ6" s="5" t="inlineStr">
        <is>
          <t>UNKNOWN</t>
        </is>
      </c>
      <c r="AK6" s="5" t="inlineStr">
        <is>
          <t>UNKNOWN</t>
        </is>
      </c>
      <c r="AL6" s="5" t="inlineStr">
        <is>
          <t>UNKNOWN</t>
        </is>
      </c>
      <c r="AM6" s="5" t="inlineStr">
        <is>
          <t>2026-09-23</t>
        </is>
      </c>
      <c r="AN6" s="5" t="inlineStr">
        <is>
          <t>LIKELY_ACTIVE</t>
        </is>
      </c>
      <c r="AO6" s="8" t="inlineStr">
        <is>
          <t>58 m² built area — good for a 1-bedroom; low estimated noise (75/100); USD 15.0/m² (good value vs other 1BR in sample)</t>
        </is>
      </c>
      <c r="AP6" s="8" t="inlineStr">
        <is>
          <t>no major drawback identified from listing data</t>
        </is>
      </c>
      <c r="AQ6" s="5" t="inlineStr"/>
      <c r="AR6" s="8" t="inlineStr">
        <is>
          <t>DEMO Inmobiliaria A</t>
        </is>
      </c>
      <c r="AS6" s="5" t="inlineStr">
        <is>
          <t>+5110001000</t>
        </is>
      </c>
      <c r="AT6" s="8" t="inlineStr">
        <is>
          <t>Adondevivir + Urbania</t>
        </is>
      </c>
      <c r="AU6" s="6" t="n">
        <v>2</v>
      </c>
      <c r="AV6" s="5" t="inlineStr">
        <is>
          <t>G0001</t>
        </is>
      </c>
      <c r="AW6" s="5" t="inlineStr"/>
      <c r="AX6" s="10" t="inlineStr">
        <is>
          <t>View listing</t>
        </is>
      </c>
      <c r="AY6" s="5" t="inlineStr">
        <is>
          <t>—</t>
        </is>
      </c>
      <c r="AZ6" s="10" t="inlineStr">
        <is>
          <t>Open map</t>
        </is>
      </c>
      <c r="BA6" s="5" t="inlineStr">
        <is>
          <t>LISTING / EXACT</t>
        </is>
      </c>
      <c r="BB6" s="5" t="inlineStr">
        <is>
          <t>PROGRAMMATIC_PASS</t>
        </is>
      </c>
      <c r="BC6" s="5" t="inlineStr"/>
    </row>
    <row r="7">
      <c r="A7" s="6" t="n">
        <v>3</v>
      </c>
      <c r="B7" s="7" t="n">
        <v>74.7</v>
      </c>
      <c r="C7" s="8" t="inlineStr">
        <is>
          <t>2BR · 80 m² — Av. Ejemplo 229 (DEMO)</t>
        </is>
      </c>
      <c r="D7" s="5" t="inlineStr">
        <is>
          <t>PRIMARY</t>
        </is>
      </c>
      <c r="E7" s="5" t="inlineStr"/>
      <c r="F7" s="9" t="n">
        <v>768.09</v>
      </c>
      <c r="G7" s="5" t="inlineStr">
        <is>
          <t>PEN 2,600</t>
        </is>
      </c>
      <c r="H7" s="5" t="inlineStr">
        <is>
          <t>CALCULATED</t>
        </is>
      </c>
      <c r="I7" s="11" t="n">
        <v>2600</v>
      </c>
      <c r="J7" s="5" t="inlineStr">
        <is>
          <t>S/ 420 (≈ USD 124)</t>
        </is>
      </c>
      <c r="K7" s="5" t="inlineStr">
        <is>
          <t>PUBLISHED</t>
        </is>
      </c>
      <c r="L7" s="9" t="n">
        <v>892.17</v>
      </c>
      <c r="M7" s="6" t="n">
        <v>2</v>
      </c>
      <c r="N7" s="12" t="n">
        <v>2</v>
      </c>
      <c r="O7" s="6" t="n">
        <v>80</v>
      </c>
      <c r="P7" s="5" t="inlineStr">
        <is>
          <t>built</t>
        </is>
      </c>
      <c r="Q7" s="5" t="inlineStr">
        <is>
          <t>GOOD</t>
        </is>
      </c>
      <c r="R7" s="7" t="n">
        <v>9.6</v>
      </c>
      <c r="S7" s="5" t="inlineStr">
        <is>
          <t>EXCELLENT_VALUE</t>
        </is>
      </c>
      <c r="T7" s="5" t="inlineStr">
        <is>
          <t>Yes</t>
        </is>
      </c>
      <c r="U7" s="5" t="inlineStr">
        <is>
          <t>No</t>
        </is>
      </c>
      <c r="V7" s="5" t="inlineStr">
        <is>
          <t>UNKNOWN</t>
        </is>
      </c>
      <c r="W7" s="5" t="inlineStr">
        <is>
          <t>Yes</t>
        </is>
      </c>
      <c r="X7" s="5" t="inlineStr">
        <is>
          <t>UNKNOWN</t>
        </is>
      </c>
      <c r="Y7" s="5" t="inlineStr">
        <is>
          <t>UNKNOWN</t>
        </is>
      </c>
      <c r="Z7" s="5" t="inlineStr">
        <is>
          <t>Yes</t>
        </is>
      </c>
      <c r="AA7" s="5" t="inlineStr">
        <is>
          <t>Yes</t>
        </is>
      </c>
      <c r="AB7" s="5" t="inlineStr">
        <is>
          <t>UNKNOWN</t>
        </is>
      </c>
      <c r="AC7" s="5" t="inlineStr">
        <is>
          <t>LOW · conf. high</t>
        </is>
      </c>
      <c r="AD7" s="6" t="n">
        <v>72</v>
      </c>
      <c r="AE7" s="8" t="inlineStr">
        <is>
          <t>Nearest major road (Av. Demo Arterial (DEMO)) 1542 m away; no nightclub mapped within 500 m. Quietness estimate: high confidence.</t>
        </is>
      </c>
      <c r="AF7" s="6" t="n">
        <v>1542</v>
      </c>
      <c r="AG7" s="6" t="n">
        <v>1440</v>
      </c>
      <c r="AH7" s="6" t="n">
        <v>0</v>
      </c>
      <c r="AI7" s="5" t="inlineStr">
        <is>
          <t>Malecón 689 m</t>
        </is>
      </c>
      <c r="AJ7" s="5" t="inlineStr">
        <is>
          <t>12 months min.</t>
        </is>
      </c>
      <c r="AK7" s="5" t="inlineStr">
        <is>
          <t>2 months deposit</t>
        </is>
      </c>
      <c r="AL7" s="5" t="inlineStr">
        <is>
          <t>UNKNOWN</t>
        </is>
      </c>
      <c r="AM7" s="5" t="inlineStr">
        <is>
          <t>2026-09-05</t>
        </is>
      </c>
      <c r="AN7" s="5" t="inlineStr">
        <is>
          <t>LIKELY_ACTIVE</t>
        </is>
      </c>
      <c r="AO7" s="8" t="inlineStr">
        <is>
          <t>80 m² built area — good for a 2-bedroom; low estimated noise (72/100); USD 9.6/m² (excellent value vs other 2BR in sample)</t>
        </is>
      </c>
      <c r="AP7" s="8" t="inlineStr">
        <is>
          <t>no direct phone/WhatsApp — contact via portal</t>
        </is>
      </c>
      <c r="AQ7" s="8" t="inlineStr">
        <is>
          <t>INCOMPLETE_CONTACT; PRICE_CONVERTED_FROM_PEN</t>
        </is>
      </c>
      <c r="AR7" s="5" t="inlineStr">
        <is>
          <t>DEMO Agente G</t>
        </is>
      </c>
      <c r="AS7" s="5" t="inlineStr">
        <is>
          <t>UNKNOWN</t>
        </is>
      </c>
      <c r="AT7" s="5" t="inlineStr">
        <is>
          <t>Adondevivir</t>
        </is>
      </c>
      <c r="AU7" s="6" t="n">
        <v>1</v>
      </c>
      <c r="AV7" s="5" t="inlineStr">
        <is>
          <t>G0030</t>
        </is>
      </c>
      <c r="AW7" s="5" t="inlineStr"/>
      <c r="AX7" s="10" t="inlineStr">
        <is>
          <t>View listing</t>
        </is>
      </c>
      <c r="AY7" s="5" t="inlineStr">
        <is>
          <t>—</t>
        </is>
      </c>
      <c r="AZ7" s="10" t="inlineStr">
        <is>
          <t>Open map</t>
        </is>
      </c>
      <c r="BA7" s="5" t="inlineStr">
        <is>
          <t>LISTING / EXACT</t>
        </is>
      </c>
      <c r="BB7" s="5" t="inlineStr">
        <is>
          <t>PROGRAMMATIC_PASS</t>
        </is>
      </c>
      <c r="BC7" s="5" t="inlineStr"/>
    </row>
    <row r="8">
      <c r="A8" s="6" t="n">
        <v>4</v>
      </c>
      <c r="B8" s="7" t="n">
        <v>72.8</v>
      </c>
      <c r="C8" s="8" t="inlineStr">
        <is>
          <t>1BR · 63 m² — Av. Ejemplo 222 (DEMO)</t>
        </is>
      </c>
      <c r="D8" s="5" t="inlineStr">
        <is>
          <t>PRIMARY</t>
        </is>
      </c>
      <c r="E8" s="5" t="inlineStr"/>
      <c r="F8" s="9" t="n">
        <v>723.78</v>
      </c>
      <c r="G8" s="5" t="inlineStr">
        <is>
          <t>PEN 2,450</t>
        </is>
      </c>
      <c r="H8" s="5" t="inlineStr">
        <is>
          <t>CALCULATED</t>
        </is>
      </c>
      <c r="I8" s="11" t="n">
        <v>2450</v>
      </c>
      <c r="J8" s="5" t="inlineStr">
        <is>
          <t>S/ 300 (≈ USD 89)</t>
        </is>
      </c>
      <c r="K8" s="5" t="inlineStr">
        <is>
          <t>PUBLISHED</t>
        </is>
      </c>
      <c r="L8" s="9" t="n">
        <v>812.41</v>
      </c>
      <c r="M8" s="6" t="n">
        <v>1</v>
      </c>
      <c r="N8" s="12" t="n">
        <v>2</v>
      </c>
      <c r="O8" s="6" t="n">
        <v>63</v>
      </c>
      <c r="P8" s="5" t="inlineStr">
        <is>
          <t>built</t>
        </is>
      </c>
      <c r="Q8" s="5" t="inlineStr">
        <is>
          <t>VERY_SPACIOUS</t>
        </is>
      </c>
      <c r="R8" s="7" t="n">
        <v>11.49</v>
      </c>
      <c r="S8" s="5" t="inlineStr">
        <is>
          <t>EXCELLENT_VALUE</t>
        </is>
      </c>
      <c r="T8" s="5" t="inlineStr">
        <is>
          <t>Yes</t>
        </is>
      </c>
      <c r="U8" s="5" t="inlineStr">
        <is>
          <t>No</t>
        </is>
      </c>
      <c r="V8" s="5" t="inlineStr">
        <is>
          <t>UNKNOWN</t>
        </is>
      </c>
      <c r="W8" s="5" t="inlineStr">
        <is>
          <t>UNKNOWN</t>
        </is>
      </c>
      <c r="X8" s="5" t="inlineStr">
        <is>
          <t>UNKNOWN</t>
        </is>
      </c>
      <c r="Y8" s="5" t="inlineStr">
        <is>
          <t>UNKNOWN</t>
        </is>
      </c>
      <c r="Z8" s="5" t="inlineStr">
        <is>
          <t>Yes</t>
        </is>
      </c>
      <c r="AA8" s="5" t="inlineStr">
        <is>
          <t>UNKNOWN</t>
        </is>
      </c>
      <c r="AB8" s="5" t="inlineStr">
        <is>
          <t>UNKNOWN</t>
        </is>
      </c>
      <c r="AC8" s="8" t="inlineStr">
        <is>
          <t>MEDIUM · conf. high</t>
        </is>
      </c>
      <c r="AD8" s="6" t="n">
        <v>60</v>
      </c>
      <c r="AE8" s="8" t="inlineStr">
        <is>
          <t>Nearest major road (Av. Demo Arterial (DEMO)) 576 m away; no nightclub mapped within 500 m; listing says it faces an avenue. Quietness estimate: high confidence.</t>
        </is>
      </c>
      <c r="AF8" s="6" t="n">
        <v>576</v>
      </c>
      <c r="AG8" s="6" t="n">
        <v>1151</v>
      </c>
      <c r="AH8" s="6" t="n">
        <v>0</v>
      </c>
      <c r="AI8" s="5" t="inlineStr">
        <is>
          <t>UNKNOWN</t>
        </is>
      </c>
      <c r="AJ8" s="5" t="inlineStr">
        <is>
          <t>UNKNOWN</t>
        </is>
      </c>
      <c r="AK8" s="5" t="inlineStr">
        <is>
          <t>UNKNOWN</t>
        </is>
      </c>
      <c r="AL8" s="5" t="inlineStr">
        <is>
          <t>UNKNOWN</t>
        </is>
      </c>
      <c r="AM8" s="5" t="inlineStr">
        <is>
          <t>2026-09-08</t>
        </is>
      </c>
      <c r="AN8" s="5" t="inlineStr">
        <is>
          <t>LIKELY_ACTIVE</t>
        </is>
      </c>
      <c r="AO8" s="8" t="inlineStr">
        <is>
          <t>63 m² built area — very spacious for a 1-bedroom; USD 11.5/m² (excellent value vs other 1BR in sample); all-in ≈ USD 812/month</t>
        </is>
      </c>
      <c r="AP8" s="8" t="inlineStr">
        <is>
          <t>listing says the unit faces an avenue</t>
        </is>
      </c>
      <c r="AQ8" s="8" t="inlineStr">
        <is>
          <t>DIRECT_MAJOR_AVENUE; INCOMPLETE_CONTACT; PRICE_CONVERTED_FROM_PEN</t>
        </is>
      </c>
      <c r="AR8" s="5" t="inlineStr">
        <is>
          <t>DEMO Agente H</t>
        </is>
      </c>
      <c r="AS8" s="5" t="inlineStr">
        <is>
          <t>UNKNOWN</t>
        </is>
      </c>
      <c r="AT8" s="5" t="inlineStr">
        <is>
          <t>Urbania</t>
        </is>
      </c>
      <c r="AU8" s="6" t="n">
        <v>1</v>
      </c>
      <c r="AV8" s="5" t="inlineStr">
        <is>
          <t>G0023</t>
        </is>
      </c>
      <c r="AW8" s="5" t="inlineStr"/>
      <c r="AX8" s="10" t="inlineStr">
        <is>
          <t>View listing</t>
        </is>
      </c>
      <c r="AY8" s="5" t="inlineStr">
        <is>
          <t>—</t>
        </is>
      </c>
      <c r="AZ8" s="10" t="inlineStr">
        <is>
          <t>Open map</t>
        </is>
      </c>
      <c r="BA8" s="5" t="inlineStr">
        <is>
          <t>LISTING / EXACT</t>
        </is>
      </c>
      <c r="BB8" s="5" t="inlineStr">
        <is>
          <t>PROGRAMMATIC_PASS</t>
        </is>
      </c>
      <c r="BC8" s="5" t="inlineStr"/>
    </row>
    <row r="9">
      <c r="A9" s="6" t="n">
        <v>5</v>
      </c>
      <c r="B9" s="7" t="n">
        <v>71.59999999999999</v>
      </c>
      <c r="C9" s="8" t="inlineStr">
        <is>
          <t>1BR · 61 m² — Calle Ejemplo 130 (DEMO)</t>
        </is>
      </c>
      <c r="D9" s="5" t="inlineStr">
        <is>
          <t>PRIMARY</t>
        </is>
      </c>
      <c r="E9" s="5" t="inlineStr"/>
      <c r="F9" s="9" t="n">
        <v>970</v>
      </c>
      <c r="G9" s="5" t="inlineStr">
        <is>
          <t>USD 970</t>
        </is>
      </c>
      <c r="H9" s="5" t="inlineStr">
        <is>
          <t>PUBLISHED</t>
        </is>
      </c>
      <c r="I9" s="11" t="n">
        <v>3283.45</v>
      </c>
      <c r="J9" s="5" t="inlineStr">
        <is>
          <t>UNKNOWN</t>
        </is>
      </c>
      <c r="K9" s="5" t="inlineStr">
        <is>
          <t>UNKNOWN</t>
        </is>
      </c>
      <c r="L9" s="5" t="inlineStr">
        <is>
          <t>UNKNOWN</t>
        </is>
      </c>
      <c r="M9" s="6" t="n">
        <v>1</v>
      </c>
      <c r="N9" s="12" t="n">
        <v>1</v>
      </c>
      <c r="O9" s="6" t="n">
        <v>61</v>
      </c>
      <c r="P9" s="5" t="inlineStr">
        <is>
          <t>built</t>
        </is>
      </c>
      <c r="Q9" s="5" t="inlineStr">
        <is>
          <t>VERY_SPACIOUS</t>
        </is>
      </c>
      <c r="R9" s="7" t="n">
        <v>15.9</v>
      </c>
      <c r="S9" s="5" t="inlineStr">
        <is>
          <t>GOOD_VALUE</t>
        </is>
      </c>
      <c r="T9" s="5" t="inlineStr">
        <is>
          <t>No</t>
        </is>
      </c>
      <c r="U9" s="5" t="inlineStr">
        <is>
          <t>UNKNOWN</t>
        </is>
      </c>
      <c r="V9" s="5" t="inlineStr">
        <is>
          <t>UNKNOWN</t>
        </is>
      </c>
      <c r="W9" s="5" t="inlineStr">
        <is>
          <t>Yes</t>
        </is>
      </c>
      <c r="X9" s="5" t="inlineStr">
        <is>
          <t>UNKNOWN</t>
        </is>
      </c>
      <c r="Y9" s="5" t="inlineStr">
        <is>
          <t>Yes</t>
        </is>
      </c>
      <c r="Z9" s="5" t="inlineStr">
        <is>
          <t>Yes</t>
        </is>
      </c>
      <c r="AA9" s="5" t="inlineStr">
        <is>
          <t>Yes</t>
        </is>
      </c>
      <c r="AB9" s="5" t="inlineStr">
        <is>
          <t>UNKNOWN</t>
        </is>
      </c>
      <c r="AC9" s="5" t="inlineStr">
        <is>
          <t>LOW · conf. low</t>
        </is>
      </c>
      <c r="AD9" s="6" t="n">
        <v>72</v>
      </c>
      <c r="AE9" s="8" t="inlineStr">
        <is>
          <t>Nearest major road (Av. Demo Arterial (DEMO)) 1710 m away; no nightclub mapped within 500 m; portal location is approximate. Quietness estimate: low confidence.</t>
        </is>
      </c>
      <c r="AF9" s="6" t="n">
        <v>1710</v>
      </c>
      <c r="AG9" s="6" t="n">
        <v>1727</v>
      </c>
      <c r="AH9" s="6" t="n">
        <v>0</v>
      </c>
      <c r="AI9" s="8" t="inlineStr">
        <is>
          <t>supermarket 288 m, pharmacy 389 m, café 250 m, Malecón 521 m</t>
        </is>
      </c>
      <c r="AJ9" s="5" t="inlineStr">
        <is>
          <t>12 months min.</t>
        </is>
      </c>
      <c r="AK9" s="5" t="inlineStr">
        <is>
          <t>2 months deposit</t>
        </is>
      </c>
      <c r="AL9" s="5" t="inlineStr">
        <is>
          <t>UNKNOWN</t>
        </is>
      </c>
      <c r="AM9" s="5" t="inlineStr">
        <is>
          <t>2026-09-16</t>
        </is>
      </c>
      <c r="AN9" s="5" t="inlineStr">
        <is>
          <t>LIKELY_ACTIVE</t>
        </is>
      </c>
      <c r="AO9" s="8" t="inlineStr">
        <is>
          <t>61 m² built area — very spacious for a 1-bedroom; USD 15.9/m² (good value vs other 1BR in sample); building security/controlled access</t>
        </is>
      </c>
      <c r="AP9" s="8" t="inlineStr">
        <is>
          <t>maintenance fee not published — confirm before visiting</t>
        </is>
      </c>
      <c r="AQ9" s="8" t="inlineStr">
        <is>
          <t>APPROXIMATE_LOCATION; NO_FURNITURE; UNKNOWN_MAINTENANCE</t>
        </is>
      </c>
      <c r="AR9" s="8" t="inlineStr">
        <is>
          <t>DEMO Inmobiliaria A</t>
        </is>
      </c>
      <c r="AS9" s="5" t="inlineStr">
        <is>
          <t>+5110001030</t>
        </is>
      </c>
      <c r="AT9" s="5" t="inlineStr">
        <is>
          <t>Urbania</t>
        </is>
      </c>
      <c r="AU9" s="6" t="n">
        <v>1</v>
      </c>
      <c r="AV9" s="5" t="inlineStr">
        <is>
          <t>G0031</t>
        </is>
      </c>
      <c r="AW9" s="5" t="inlineStr"/>
      <c r="AX9" s="10" t="inlineStr">
        <is>
          <t>View listing</t>
        </is>
      </c>
      <c r="AY9" s="5" t="inlineStr">
        <is>
          <t>—</t>
        </is>
      </c>
      <c r="AZ9" s="10" t="inlineStr">
        <is>
          <t>Open map</t>
        </is>
      </c>
      <c r="BA9" s="8" t="inlineStr">
        <is>
          <t>LISTING / APPROXIMATE</t>
        </is>
      </c>
      <c r="BB9" s="5" t="inlineStr">
        <is>
          <t>PROGRAMMATIC_PASS</t>
        </is>
      </c>
      <c r="BC9" s="5" t="inlineStr"/>
    </row>
    <row r="10">
      <c r="A10" s="6" t="n">
        <v>6</v>
      </c>
      <c r="B10" s="7" t="n">
        <v>71.3</v>
      </c>
      <c r="C10" s="8" t="inlineStr">
        <is>
          <t>1BR · 38 m² — Av. Ejemplo 210 (DEMO)</t>
        </is>
      </c>
      <c r="D10" s="5" t="inlineStr">
        <is>
          <t>PRIMARY</t>
        </is>
      </c>
      <c r="E10" s="5" t="inlineStr"/>
      <c r="F10" s="9" t="n">
        <v>635.16</v>
      </c>
      <c r="G10" s="5" t="inlineStr">
        <is>
          <t>PEN 2,150</t>
        </is>
      </c>
      <c r="H10" s="5" t="inlineStr">
        <is>
          <t>CALCULATED</t>
        </is>
      </c>
      <c r="I10" s="11" t="n">
        <v>2150</v>
      </c>
      <c r="J10" s="5" t="inlineStr">
        <is>
          <t>S/ 350 (≈ USD 103)</t>
        </is>
      </c>
      <c r="K10" s="5" t="inlineStr">
        <is>
          <t>PUBLISHED</t>
        </is>
      </c>
      <c r="L10" s="9" t="n">
        <v>738.5599999999999</v>
      </c>
      <c r="M10" s="6" t="n">
        <v>1</v>
      </c>
      <c r="N10" s="12" t="n">
        <v>2</v>
      </c>
      <c r="O10" s="6" t="n">
        <v>38</v>
      </c>
      <c r="P10" s="5" t="inlineStr">
        <is>
          <t>built</t>
        </is>
      </c>
      <c r="Q10" s="5" t="inlineStr">
        <is>
          <t>SMALL</t>
        </is>
      </c>
      <c r="R10" s="7" t="n">
        <v>16.71</v>
      </c>
      <c r="S10" s="5" t="inlineStr">
        <is>
          <t>FAIR_VALUE</t>
        </is>
      </c>
      <c r="T10" s="5" t="inlineStr">
        <is>
          <t>Yes</t>
        </is>
      </c>
      <c r="U10" s="5" t="inlineStr">
        <is>
          <t>Yes (1)</t>
        </is>
      </c>
      <c r="V10" s="5" t="inlineStr">
        <is>
          <t>UNKNOWN</t>
        </is>
      </c>
      <c r="W10" s="5" t="inlineStr">
        <is>
          <t>Yes</t>
        </is>
      </c>
      <c r="X10" s="5" t="inlineStr">
        <is>
          <t>UNKNOWN</t>
        </is>
      </c>
      <c r="Y10" s="5" t="inlineStr">
        <is>
          <t>UNKNOWN</t>
        </is>
      </c>
      <c r="Z10" s="5" t="inlineStr">
        <is>
          <t>Yes</t>
        </is>
      </c>
      <c r="AA10" s="5" t="inlineStr">
        <is>
          <t>Yes</t>
        </is>
      </c>
      <c r="AB10" s="5" t="inlineStr">
        <is>
          <t>UNKNOWN</t>
        </is>
      </c>
      <c r="AC10" s="5" t="inlineStr">
        <is>
          <t>LOW · conf. low</t>
        </is>
      </c>
      <c r="AD10" s="6" t="n">
        <v>72</v>
      </c>
      <c r="AE10" s="8" t="inlineStr">
        <is>
          <t>Nearest major road (Vía Demo Expresa (DEMO)) 564 m away; no nightclub mapped within 500 m; portal location is approximate. Quietness estimate: low confidence.</t>
        </is>
      </c>
      <c r="AF10" s="6" t="n">
        <v>564</v>
      </c>
      <c r="AG10" s="6" t="n">
        <v>893</v>
      </c>
      <c r="AH10" s="6" t="n">
        <v>0</v>
      </c>
      <c r="AI10" s="8" t="inlineStr">
        <is>
          <t>supermarket 325 m, pharmacy 312 m</t>
        </is>
      </c>
      <c r="AJ10" s="5" t="inlineStr">
        <is>
          <t>12 months min.</t>
        </is>
      </c>
      <c r="AK10" s="5" t="inlineStr">
        <is>
          <t>2 months deposit</t>
        </is>
      </c>
      <c r="AL10" s="5" t="inlineStr">
        <is>
          <t>UNKNOWN</t>
        </is>
      </c>
      <c r="AM10" s="5" t="inlineStr">
        <is>
          <t>2026-09-15</t>
        </is>
      </c>
      <c r="AN10" s="5" t="inlineStr">
        <is>
          <t>LIKELY_ACTIVE</t>
        </is>
      </c>
      <c r="AO10" s="8" t="inlineStr">
        <is>
          <t>all-in ≈ USD 739/month; furnished; building security/controlled access</t>
        </is>
      </c>
      <c r="AP10" s="8" t="inlineStr">
        <is>
          <t>portal shows an approximate location only</t>
        </is>
      </c>
      <c r="AQ10" s="8" t="inlineStr">
        <is>
          <t>APPROXIMATE_LOCATION; INCOMPLETE_CONTACT; PRICE_CONVERTED_FROM_PEN</t>
        </is>
      </c>
      <c r="AR10" s="5" t="inlineStr">
        <is>
          <t>DEMO Agente H</t>
        </is>
      </c>
      <c r="AS10" s="5" t="inlineStr">
        <is>
          <t>UNKNOWN</t>
        </is>
      </c>
      <c r="AT10" s="5" t="inlineStr">
        <is>
          <t>Urbania</t>
        </is>
      </c>
      <c r="AU10" s="6" t="n">
        <v>1</v>
      </c>
      <c r="AV10" s="5" t="inlineStr">
        <is>
          <t>G0011</t>
        </is>
      </c>
      <c r="AW10" s="5" t="inlineStr"/>
      <c r="AX10" s="10" t="inlineStr">
        <is>
          <t>View listing</t>
        </is>
      </c>
      <c r="AY10" s="5" t="inlineStr">
        <is>
          <t>—</t>
        </is>
      </c>
      <c r="AZ10" s="10" t="inlineStr">
        <is>
          <t>Open map</t>
        </is>
      </c>
      <c r="BA10" s="8" t="inlineStr">
        <is>
          <t>LISTING / APPROXIMATE</t>
        </is>
      </c>
      <c r="BB10" s="5" t="inlineStr">
        <is>
          <t>PROGRAMMATIC_PASS</t>
        </is>
      </c>
      <c r="BC10" s="5" t="inlineStr"/>
    </row>
    <row r="11">
      <c r="A11" s="6" t="n">
        <v>7</v>
      </c>
      <c r="B11" s="7" t="n">
        <v>69.5</v>
      </c>
      <c r="C11" s="8" t="inlineStr">
        <is>
          <t>1BR · 43 m² — Calle Ejemplo 112 (DEMO)</t>
        </is>
      </c>
      <c r="D11" s="5" t="inlineStr">
        <is>
          <t>PRIMARY</t>
        </is>
      </c>
      <c r="E11" s="5" t="inlineStr"/>
      <c r="F11" s="9" t="n">
        <v>710</v>
      </c>
      <c r="G11" s="5" t="inlineStr">
        <is>
          <t>USD 710</t>
        </is>
      </c>
      <c r="H11" s="5" t="inlineStr">
        <is>
          <t>PUBLISHED</t>
        </is>
      </c>
      <c r="I11" s="11" t="n">
        <v>2403.35</v>
      </c>
      <c r="J11" s="5" t="inlineStr">
        <is>
          <t>S/ 420 (≈ USD 124)</t>
        </is>
      </c>
      <c r="K11" s="5" t="inlineStr">
        <is>
          <t>PUBLISHED</t>
        </is>
      </c>
      <c r="L11" s="9" t="n">
        <v>834.08</v>
      </c>
      <c r="M11" s="6" t="n">
        <v>1</v>
      </c>
      <c r="N11" s="12" t="n">
        <v>1.5</v>
      </c>
      <c r="O11" s="6" t="n">
        <v>43</v>
      </c>
      <c r="P11" s="5" t="inlineStr">
        <is>
          <t>built</t>
        </is>
      </c>
      <c r="Q11" s="5" t="inlineStr">
        <is>
          <t>ACCEPTABLE</t>
        </is>
      </c>
      <c r="R11" s="7" t="n">
        <v>16.51</v>
      </c>
      <c r="S11" s="5" t="inlineStr">
        <is>
          <t>FAIR_VALUE</t>
        </is>
      </c>
      <c r="T11" s="5" t="inlineStr">
        <is>
          <t>Semi</t>
        </is>
      </c>
      <c r="U11" s="5" t="inlineStr">
        <is>
          <t>UNKNOWN</t>
        </is>
      </c>
      <c r="V11" s="5" t="inlineStr">
        <is>
          <t>UNKNOWN</t>
        </is>
      </c>
      <c r="W11" s="5" t="inlineStr">
        <is>
          <t>Yes</t>
        </is>
      </c>
      <c r="X11" s="5" t="inlineStr">
        <is>
          <t>UNKNOWN</t>
        </is>
      </c>
      <c r="Y11" s="5" t="inlineStr">
        <is>
          <t>Yes</t>
        </is>
      </c>
      <c r="Z11" s="5" t="inlineStr">
        <is>
          <t>Yes</t>
        </is>
      </c>
      <c r="AA11" s="5" t="inlineStr">
        <is>
          <t>Yes</t>
        </is>
      </c>
      <c r="AB11" s="5" t="inlineStr">
        <is>
          <t>UNKNOWN</t>
        </is>
      </c>
      <c r="AC11" s="5" t="inlineStr">
        <is>
          <t>MEDIUM · conf. low</t>
        </is>
      </c>
      <c r="AD11" s="6" t="n">
        <v>66</v>
      </c>
      <c r="AE11" s="8" t="inlineStr">
        <is>
          <t>277 m from Av. Demo Arterial (DEMO); no nightclub mapped within 500 m; portal location is approximate. Quietness estimate: low confidence.</t>
        </is>
      </c>
      <c r="AF11" s="6" t="n">
        <v>277</v>
      </c>
      <c r="AG11" s="6" t="n">
        <v>1191</v>
      </c>
      <c r="AH11" s="6" t="n">
        <v>0</v>
      </c>
      <c r="AI11" s="8" t="inlineStr">
        <is>
          <t>supermarket 304 m, pharmacy 301 m, bus/Metropolitano stop 354 m</t>
        </is>
      </c>
      <c r="AJ11" s="5" t="inlineStr">
        <is>
          <t>12 months min.</t>
        </is>
      </c>
      <c r="AK11" s="5" t="inlineStr">
        <is>
          <t>2 months deposit</t>
        </is>
      </c>
      <c r="AL11" s="5" t="inlineStr">
        <is>
          <t>UNKNOWN</t>
        </is>
      </c>
      <c r="AM11" s="5" t="inlineStr">
        <is>
          <t>2026-09-03</t>
        </is>
      </c>
      <c r="AN11" s="5" t="inlineStr">
        <is>
          <t>LIKELY_ACTIVE</t>
        </is>
      </c>
      <c r="AO11" s="8" t="inlineStr">
        <is>
          <t>all-in ≈ USD 834/month; building security/controlled access; balcony/terrace</t>
        </is>
      </c>
      <c r="AP11" s="8" t="inlineStr">
        <is>
          <t>portal shows an approximate location only</t>
        </is>
      </c>
      <c r="AQ11" s="8" t="inlineStr">
        <is>
          <t>APPROXIMATE_LOCATION</t>
        </is>
      </c>
      <c r="AR11" s="8" t="inlineStr">
        <is>
          <t>DEMO Inmobiliaria C</t>
        </is>
      </c>
      <c r="AS11" s="5" t="inlineStr">
        <is>
          <t>+5110001012</t>
        </is>
      </c>
      <c r="AT11" s="5" t="inlineStr">
        <is>
          <t>Urbania</t>
        </is>
      </c>
      <c r="AU11" s="6" t="n">
        <v>1</v>
      </c>
      <c r="AV11" s="5" t="inlineStr">
        <is>
          <t>G0013</t>
        </is>
      </c>
      <c r="AW11" s="5" t="inlineStr"/>
      <c r="AX11" s="10" t="inlineStr">
        <is>
          <t>View listing</t>
        </is>
      </c>
      <c r="AY11" s="5" t="inlineStr">
        <is>
          <t>—</t>
        </is>
      </c>
      <c r="AZ11" s="10" t="inlineStr">
        <is>
          <t>Open map</t>
        </is>
      </c>
      <c r="BA11" s="8" t="inlineStr">
        <is>
          <t>LISTING / APPROXIMATE</t>
        </is>
      </c>
      <c r="BB11" s="5" t="inlineStr">
        <is>
          <t>PROGRAMMATIC_PASS</t>
        </is>
      </c>
      <c r="BC11" s="5" t="inlineStr"/>
    </row>
    <row r="12">
      <c r="A12" s="6" t="n">
        <v>8</v>
      </c>
      <c r="B12" s="7" t="n">
        <v>68.90000000000001</v>
      </c>
      <c r="C12" s="8" t="inlineStr">
        <is>
          <t>2BR · 92 m² — Calle Ejemplo 103 (DEMO)</t>
        </is>
      </c>
      <c r="D12" s="5" t="inlineStr">
        <is>
          <t>PRIMARY</t>
        </is>
      </c>
      <c r="E12" s="5" t="inlineStr"/>
      <c r="F12" s="9" t="n">
        <v>760</v>
      </c>
      <c r="G12" s="5" t="inlineStr">
        <is>
          <t>USD 760</t>
        </is>
      </c>
      <c r="H12" s="5" t="inlineStr">
        <is>
          <t>PUBLISHED</t>
        </is>
      </c>
      <c r="I12" s="11" t="n">
        <v>2572.6</v>
      </c>
      <c r="J12" s="5" t="inlineStr">
        <is>
          <t>UNKNOWN</t>
        </is>
      </c>
      <c r="K12" s="5" t="inlineStr">
        <is>
          <t>UNKNOWN</t>
        </is>
      </c>
      <c r="L12" s="5" t="inlineStr">
        <is>
          <t>UNKNOWN</t>
        </is>
      </c>
      <c r="M12" s="6" t="n">
        <v>2</v>
      </c>
      <c r="N12" s="12" t="n">
        <v>1</v>
      </c>
      <c r="O12" s="6" t="n">
        <v>92</v>
      </c>
      <c r="P12" s="5" t="inlineStr">
        <is>
          <t>built</t>
        </is>
      </c>
      <c r="Q12" s="5" t="inlineStr">
        <is>
          <t>VERY_SPACIOUS</t>
        </is>
      </c>
      <c r="R12" s="7" t="n">
        <v>8.26</v>
      </c>
      <c r="S12" s="5" t="inlineStr">
        <is>
          <t>EXCELLENT_VALUE</t>
        </is>
      </c>
      <c r="T12" s="5" t="inlineStr">
        <is>
          <t>Yes</t>
        </is>
      </c>
      <c r="U12" s="5" t="inlineStr">
        <is>
          <t>Yes</t>
        </is>
      </c>
      <c r="V12" s="5" t="inlineStr">
        <is>
          <t>UNKNOWN</t>
        </is>
      </c>
      <c r="W12" s="5" t="inlineStr">
        <is>
          <t>Yes</t>
        </is>
      </c>
      <c r="X12" s="5" t="inlineStr">
        <is>
          <t>Yes</t>
        </is>
      </c>
      <c r="Y12" s="5" t="inlineStr">
        <is>
          <t>UNKNOWN</t>
        </is>
      </c>
      <c r="Z12" s="5" t="inlineStr">
        <is>
          <t>UNKNOWN</t>
        </is>
      </c>
      <c r="AA12" s="5" t="inlineStr">
        <is>
          <t>UNKNOWN</t>
        </is>
      </c>
      <c r="AB12" s="5" t="inlineStr">
        <is>
          <t>Yes</t>
        </is>
      </c>
      <c r="AC12" s="5" t="inlineStr">
        <is>
          <t>MEDIUM · conf. low</t>
        </is>
      </c>
      <c r="AD12" s="6" t="n">
        <v>54</v>
      </c>
      <c r="AE12" s="8" t="inlineStr">
        <is>
          <t>222 m from Av. Demo Arterial (DEMO); nightclub 'Discoteca Demo (DEMO)' 107 m away; listing says interior-facing / contrafrente; seller describes the street as quiet (unverified claim); portal location is approximate. Quietness estimate: low confidence.</t>
        </is>
      </c>
      <c r="AF12" s="6" t="n">
        <v>222</v>
      </c>
      <c r="AG12" s="6" t="n">
        <v>107</v>
      </c>
      <c r="AH12" s="6" t="n">
        <v>0</v>
      </c>
      <c r="AI12" s="8" t="inlineStr">
        <is>
          <t>bus/Metropolitano stop 257 m</t>
        </is>
      </c>
      <c r="AJ12" s="5" t="inlineStr">
        <is>
          <t>6 months min.</t>
        </is>
      </c>
      <c r="AK12" s="5" t="inlineStr">
        <is>
          <t>UNKNOWN</t>
        </is>
      </c>
      <c r="AL12" s="5" t="inlineStr">
        <is>
          <t>UNKNOWN</t>
        </is>
      </c>
      <c r="AM12" s="5" t="inlineStr">
        <is>
          <t>2026-09-18</t>
        </is>
      </c>
      <c r="AN12" s="5" t="inlineStr">
        <is>
          <t>LIKELY_ACTIVE</t>
        </is>
      </c>
      <c r="AO12" s="8" t="inlineStr">
        <is>
          <t>92 m² built area — very spacious for a 2-bedroom; interior-facing; USD 8.3/m² (excellent value vs other 2BR in sample)</t>
        </is>
      </c>
      <c r="AP12" s="8" t="inlineStr">
        <is>
          <t>bars/nightlife nearby — check at night</t>
        </is>
      </c>
      <c r="AQ12" s="8" t="inlineStr">
        <is>
          <t>APPROXIMATE_LOCATION; NIGHTLIFE_PROXIMITY; UNKNOWN_MAINTENANCE</t>
        </is>
      </c>
      <c r="AR12" s="8" t="inlineStr">
        <is>
          <t>DEMO Inmobiliaria D</t>
        </is>
      </c>
      <c r="AS12" s="5" t="inlineStr">
        <is>
          <t>+5110001003</t>
        </is>
      </c>
      <c r="AT12" s="5" t="inlineStr">
        <is>
          <t>Adondevivir</t>
        </is>
      </c>
      <c r="AU12" s="6" t="n">
        <v>1</v>
      </c>
      <c r="AV12" s="5" t="inlineStr">
        <is>
          <t>G0004</t>
        </is>
      </c>
      <c r="AW12" s="5" t="inlineStr"/>
      <c r="AX12" s="10" t="inlineStr">
        <is>
          <t>View listing</t>
        </is>
      </c>
      <c r="AY12" s="5" t="inlineStr">
        <is>
          <t>—</t>
        </is>
      </c>
      <c r="AZ12" s="10" t="inlineStr">
        <is>
          <t>Open map</t>
        </is>
      </c>
      <c r="BA12" s="8" t="inlineStr">
        <is>
          <t>LISTING / APPROXIMATE</t>
        </is>
      </c>
      <c r="BB12" s="5" t="inlineStr">
        <is>
          <t>PROGRAMMATIC_PASS</t>
        </is>
      </c>
      <c r="BC12" s="5" t="inlineStr"/>
    </row>
    <row r="13">
      <c r="A13" s="6" t="n">
        <v>9</v>
      </c>
      <c r="B13" s="7" t="n">
        <v>66.59999999999999</v>
      </c>
      <c r="C13" s="8" t="inlineStr">
        <is>
          <t>2BR · 61 m² — Av. Ejemplo 211 (DEMO)</t>
        </is>
      </c>
      <c r="D13" s="5" t="inlineStr">
        <is>
          <t>PRIMARY</t>
        </is>
      </c>
      <c r="E13" s="5" t="inlineStr"/>
      <c r="F13" s="9" t="n">
        <v>664.7</v>
      </c>
      <c r="G13" s="5" t="inlineStr">
        <is>
          <t>PEN 2,250</t>
        </is>
      </c>
      <c r="H13" s="5" t="inlineStr">
        <is>
          <t>CALCULATED</t>
        </is>
      </c>
      <c r="I13" s="11" t="n">
        <v>2250</v>
      </c>
      <c r="J13" s="5" t="inlineStr">
        <is>
          <t>S/ 420 (≈ USD 124)</t>
        </is>
      </c>
      <c r="K13" s="5" t="inlineStr">
        <is>
          <t>PUBLISHED</t>
        </is>
      </c>
      <c r="L13" s="9" t="n">
        <v>788.78</v>
      </c>
      <c r="M13" s="6" t="n">
        <v>2</v>
      </c>
      <c r="N13" s="12" t="n">
        <v>2</v>
      </c>
      <c r="O13" s="6" t="n">
        <v>61</v>
      </c>
      <c r="P13" s="5" t="inlineStr">
        <is>
          <t>built</t>
        </is>
      </c>
      <c r="Q13" s="5" t="inlineStr">
        <is>
          <t>ACCEPTABLE</t>
        </is>
      </c>
      <c r="R13" s="7" t="n">
        <v>10.9</v>
      </c>
      <c r="S13" s="5" t="inlineStr">
        <is>
          <t>GOOD_VALUE</t>
        </is>
      </c>
      <c r="T13" s="5" t="inlineStr">
        <is>
          <t>No</t>
        </is>
      </c>
      <c r="U13" s="5" t="inlineStr">
        <is>
          <t>No</t>
        </is>
      </c>
      <c r="V13" s="5" t="inlineStr">
        <is>
          <t>UNKNOWN</t>
        </is>
      </c>
      <c r="W13" s="5" t="inlineStr">
        <is>
          <t>UNKNOWN</t>
        </is>
      </c>
      <c r="X13" s="5" t="inlineStr">
        <is>
          <t>UNKNOWN</t>
        </is>
      </c>
      <c r="Y13" s="5" t="inlineStr">
        <is>
          <t>UNKNOWN</t>
        </is>
      </c>
      <c r="Z13" s="5" t="inlineStr">
        <is>
          <t>UNKNOWN</t>
        </is>
      </c>
      <c r="AA13" s="5" t="inlineStr">
        <is>
          <t>UNKNOWN</t>
        </is>
      </c>
      <c r="AB13" s="5" t="inlineStr">
        <is>
          <t>Yes</t>
        </is>
      </c>
      <c r="AC13" s="5" t="inlineStr">
        <is>
          <t>LOW · conf. high</t>
        </is>
      </c>
      <c r="AD13" s="6" t="n">
        <v>85</v>
      </c>
      <c r="AE13" s="8" t="inlineStr">
        <is>
          <t>Nearest major road (Av. Demo Arterial (DEMO)) 1204 m away; no nightclub mapped within 500 m; listing says interior-facing / contrafrente; seller describes the street as quiet (unverified claim). Quietness estimate: high confidence.</t>
        </is>
      </c>
      <c r="AF13" s="6" t="n">
        <v>1204</v>
      </c>
      <c r="AG13" s="6" t="n">
        <v>1144</v>
      </c>
      <c r="AH13" s="6" t="n">
        <v>0</v>
      </c>
      <c r="AI13" s="8" t="inlineStr">
        <is>
          <t>supermarket 429 m, park 233 m</t>
        </is>
      </c>
      <c r="AJ13" s="5" t="inlineStr">
        <is>
          <t>6 months min.</t>
        </is>
      </c>
      <c r="AK13" s="5" t="inlineStr">
        <is>
          <t>UNKNOWN</t>
        </is>
      </c>
      <c r="AL13" s="5" t="inlineStr">
        <is>
          <t>UNKNOWN</t>
        </is>
      </c>
      <c r="AM13" s="5" t="inlineStr">
        <is>
          <t>2026-08-13</t>
        </is>
      </c>
      <c r="AN13" s="5" t="inlineStr">
        <is>
          <t>LIKELY_ACTIVE</t>
        </is>
      </c>
      <c r="AO13" s="8" t="inlineStr">
        <is>
          <t>low estimated noise (85/100); interior-facing; USD 10.9/m² (good value vs other 2BR in sample)</t>
        </is>
      </c>
      <c r="AP13" s="5" t="inlineStr">
        <is>
          <t>unfurnished</t>
        </is>
      </c>
      <c r="AQ13" s="8" t="inlineStr">
        <is>
          <t>INCOMPLETE_CONTACT; NO_FURNITURE; PRICE_CONVERTED_FROM_PEN</t>
        </is>
      </c>
      <c r="AR13" s="5" t="inlineStr">
        <is>
          <t>DEMO Agente I</t>
        </is>
      </c>
      <c r="AS13" s="5" t="inlineStr">
        <is>
          <t>UNKNOWN</t>
        </is>
      </c>
      <c r="AT13" s="5" t="inlineStr">
        <is>
          <t>Adondevivir</t>
        </is>
      </c>
      <c r="AU13" s="6" t="n">
        <v>1</v>
      </c>
      <c r="AV13" s="5" t="inlineStr">
        <is>
          <t>G0012</t>
        </is>
      </c>
      <c r="AW13" s="5" t="inlineStr"/>
      <c r="AX13" s="10" t="inlineStr">
        <is>
          <t>View listing</t>
        </is>
      </c>
      <c r="AY13" s="5" t="inlineStr">
        <is>
          <t>—</t>
        </is>
      </c>
      <c r="AZ13" s="10" t="inlineStr">
        <is>
          <t>Open map</t>
        </is>
      </c>
      <c r="BA13" s="5" t="inlineStr">
        <is>
          <t>LISTING / EXACT</t>
        </is>
      </c>
      <c r="BB13" s="5" t="inlineStr">
        <is>
          <t>PROGRAMMATIC_PASS</t>
        </is>
      </c>
      <c r="BC13" s="5" t="inlineStr"/>
    </row>
    <row r="14">
      <c r="A14" s="6" t="n">
        <v>10</v>
      </c>
      <c r="B14" s="7" t="n">
        <v>64.2</v>
      </c>
      <c r="C14" s="8" t="inlineStr">
        <is>
          <t>1BR · 47 m² — Calle Ejemplo 127 (DEMO)</t>
        </is>
      </c>
      <c r="D14" s="5" t="inlineStr">
        <is>
          <t>PRIMARY</t>
        </is>
      </c>
      <c r="E14" s="5" t="inlineStr"/>
      <c r="F14" s="9" t="n">
        <v>650</v>
      </c>
      <c r="G14" s="5" t="inlineStr">
        <is>
          <t>USD 650</t>
        </is>
      </c>
      <c r="H14" s="5" t="inlineStr">
        <is>
          <t>PUBLISHED</t>
        </is>
      </c>
      <c r="I14" s="11" t="n">
        <v>2200.25</v>
      </c>
      <c r="J14" s="5" t="inlineStr">
        <is>
          <t>S/ 300 (≈ USD 89)</t>
        </is>
      </c>
      <c r="K14" s="5" t="inlineStr">
        <is>
          <t>PUBLISHED</t>
        </is>
      </c>
      <c r="L14" s="9" t="n">
        <v>738.63</v>
      </c>
      <c r="M14" s="6" t="n">
        <v>1</v>
      </c>
      <c r="N14" s="12" t="n">
        <v>2</v>
      </c>
      <c r="O14" s="6" t="n">
        <v>47</v>
      </c>
      <c r="P14" s="5" t="inlineStr">
        <is>
          <t>built</t>
        </is>
      </c>
      <c r="Q14" s="5" t="inlineStr">
        <is>
          <t>ACCEPTABLE</t>
        </is>
      </c>
      <c r="R14" s="7" t="n">
        <v>13.83</v>
      </c>
      <c r="S14" s="5" t="inlineStr">
        <is>
          <t>GOOD_VALUE</t>
        </is>
      </c>
      <c r="T14" s="5" t="inlineStr">
        <is>
          <t>No</t>
        </is>
      </c>
      <c r="U14" s="5" t="inlineStr">
        <is>
          <t>UNKNOWN</t>
        </is>
      </c>
      <c r="V14" s="5" t="n">
        <v>10</v>
      </c>
      <c r="W14" s="5" t="inlineStr">
        <is>
          <t>Yes</t>
        </is>
      </c>
      <c r="X14" s="5" t="inlineStr">
        <is>
          <t>Yes</t>
        </is>
      </c>
      <c r="Y14" s="5" t="inlineStr">
        <is>
          <t>UNKNOWN</t>
        </is>
      </c>
      <c r="Z14" s="5" t="inlineStr">
        <is>
          <t>UNKNOWN</t>
        </is>
      </c>
      <c r="AA14" s="5" t="inlineStr">
        <is>
          <t>UNKNOWN</t>
        </is>
      </c>
      <c r="AB14" s="5" t="inlineStr">
        <is>
          <t>UNKNOWN</t>
        </is>
      </c>
      <c r="AC14" s="5" t="inlineStr">
        <is>
          <t>LOW · conf. medium</t>
        </is>
      </c>
      <c r="AD14" s="6" t="n">
        <v>75</v>
      </c>
      <c r="AE14" s="8" t="inlineStr">
        <is>
          <t>Nearest major road (Av. Demo Arterial (DEMO)) 534 m away; no nightclub mapped within 500 m; high floor (10). Quietness estimate: medium confidence.</t>
        </is>
      </c>
      <c r="AF14" s="6" t="n">
        <v>534</v>
      </c>
      <c r="AG14" s="6" t="n">
        <v>728</v>
      </c>
      <c r="AH14" s="6" t="n">
        <v>0</v>
      </c>
      <c r="AI14" s="5" t="inlineStr">
        <is>
          <t>UNKNOWN</t>
        </is>
      </c>
      <c r="AJ14" s="5" t="inlineStr">
        <is>
          <t>UNKNOWN</t>
        </is>
      </c>
      <c r="AK14" s="5" t="inlineStr">
        <is>
          <t>UNKNOWN</t>
        </is>
      </c>
      <c r="AL14" s="5" t="inlineStr">
        <is>
          <t>UNKNOWN</t>
        </is>
      </c>
      <c r="AM14" s="5" t="inlineStr">
        <is>
          <t>2026-09-10</t>
        </is>
      </c>
      <c r="AN14" s="5" t="inlineStr">
        <is>
          <t>LIKELY_ACTIVE</t>
        </is>
      </c>
      <c r="AO14" s="8" t="inlineStr">
        <is>
          <t>low estimated noise (75/100); USD 13.8/m² (good value vs other 1BR in sample); all-in ≈ USD 739/month</t>
        </is>
      </c>
      <c r="AP14" s="5" t="inlineStr">
        <is>
          <t>unfurnished</t>
        </is>
      </c>
      <c r="AQ14" s="5" t="inlineStr">
        <is>
          <t>NO_FURNITURE</t>
        </is>
      </c>
      <c r="AR14" s="8" t="inlineStr">
        <is>
          <t>DEMO Inmobiliaria C</t>
        </is>
      </c>
      <c r="AS14" s="5" t="inlineStr">
        <is>
          <t>+5110001027</t>
        </is>
      </c>
      <c r="AT14" s="5" t="inlineStr">
        <is>
          <t>Adondevivir</t>
        </is>
      </c>
      <c r="AU14" s="6" t="n">
        <v>1</v>
      </c>
      <c r="AV14" s="5" t="inlineStr">
        <is>
          <t>G0028</t>
        </is>
      </c>
      <c r="AW14" s="5" t="inlineStr"/>
      <c r="AX14" s="10" t="inlineStr">
        <is>
          <t>View listing</t>
        </is>
      </c>
      <c r="AY14" s="5" t="inlineStr">
        <is>
          <t>—</t>
        </is>
      </c>
      <c r="AZ14" s="10" t="inlineStr">
        <is>
          <t>Open map</t>
        </is>
      </c>
      <c r="BA14" s="5" t="inlineStr">
        <is>
          <t>LISTING / EXACT</t>
        </is>
      </c>
      <c r="BB14" s="5" t="inlineStr">
        <is>
          <t>PROGRAMMATIC_PASS</t>
        </is>
      </c>
      <c r="BC14" s="5" t="inlineStr"/>
    </row>
    <row r="15">
      <c r="A15" s="6" t="n">
        <v>11</v>
      </c>
      <c r="B15" s="7" t="n">
        <v>63.6</v>
      </c>
      <c r="C15" s="8" t="inlineStr">
        <is>
          <t>2BR · 58 m² — Av. Ejemplo 228 (DEMO)</t>
        </is>
      </c>
      <c r="D15" s="5" t="inlineStr">
        <is>
          <t>PRIMARY</t>
        </is>
      </c>
      <c r="E15" s="5" t="inlineStr"/>
      <c r="F15" s="9" t="n">
        <v>812.41</v>
      </c>
      <c r="G15" s="5" t="inlineStr">
        <is>
          <t>PEN 2,750</t>
        </is>
      </c>
      <c r="H15" s="5" t="inlineStr">
        <is>
          <t>CALCULATED</t>
        </is>
      </c>
      <c r="I15" s="11" t="n">
        <v>2750</v>
      </c>
      <c r="J15" s="5" t="inlineStr">
        <is>
          <t>S/ 420 (≈ USD 124)</t>
        </is>
      </c>
      <c r="K15" s="5" t="inlineStr">
        <is>
          <t>PUBLISHED</t>
        </is>
      </c>
      <c r="L15" s="9" t="n">
        <v>936.49</v>
      </c>
      <c r="M15" s="6" t="n">
        <v>2</v>
      </c>
      <c r="N15" s="12" t="n">
        <v>2</v>
      </c>
      <c r="O15" s="6" t="n">
        <v>58</v>
      </c>
      <c r="P15" s="5" t="inlineStr">
        <is>
          <t>built</t>
        </is>
      </c>
      <c r="Q15" s="5" t="inlineStr">
        <is>
          <t>ACCEPTABLE</t>
        </is>
      </c>
      <c r="R15" s="7" t="n">
        <v>14.01</v>
      </c>
      <c r="S15" s="5" t="inlineStr">
        <is>
          <t>FAIR_VALUE</t>
        </is>
      </c>
      <c r="T15" s="5" t="inlineStr">
        <is>
          <t>Semi</t>
        </is>
      </c>
      <c r="U15" s="5" t="inlineStr">
        <is>
          <t>Yes (1)</t>
        </is>
      </c>
      <c r="V15" s="5" t="inlineStr">
        <is>
          <t>UNKNOWN</t>
        </is>
      </c>
      <c r="W15" s="5" t="inlineStr">
        <is>
          <t>UNKNOWN</t>
        </is>
      </c>
      <c r="X15" s="5" t="inlineStr">
        <is>
          <t>UNKNOWN</t>
        </is>
      </c>
      <c r="Y15" s="5" t="inlineStr">
        <is>
          <t>UNKNOWN</t>
        </is>
      </c>
      <c r="Z15" s="5" t="inlineStr">
        <is>
          <t>Yes</t>
        </is>
      </c>
      <c r="AA15" s="5" t="inlineStr">
        <is>
          <t>UNKNOWN</t>
        </is>
      </c>
      <c r="AB15" s="5" t="inlineStr">
        <is>
          <t>UNKNOWN</t>
        </is>
      </c>
      <c r="AC15" s="8" t="inlineStr">
        <is>
          <t>MEDIUM · conf. high</t>
        </is>
      </c>
      <c r="AD15" s="6" t="n">
        <v>60</v>
      </c>
      <c r="AE15" s="8" t="inlineStr">
        <is>
          <t>Nearest major road (Av. Demo Arterial (DEMO)) 1799 m away; no nightclub mapped within 500 m; listing says it faces an avenue. Quietness estimate: high confidence.</t>
        </is>
      </c>
      <c r="AF15" s="6" t="n">
        <v>1799</v>
      </c>
      <c r="AG15" s="6" t="n">
        <v>1925</v>
      </c>
      <c r="AH15" s="6" t="n">
        <v>0</v>
      </c>
      <c r="AI15" s="8" t="inlineStr">
        <is>
          <t>park 0 m, Malecón 432 m</t>
        </is>
      </c>
      <c r="AJ15" s="5" t="inlineStr">
        <is>
          <t>UNKNOWN</t>
        </is>
      </c>
      <c r="AK15" s="5" t="inlineStr">
        <is>
          <t>UNKNOWN</t>
        </is>
      </c>
      <c r="AL15" s="5" t="inlineStr">
        <is>
          <t>UNKNOWN</t>
        </is>
      </c>
      <c r="AM15" s="5" t="inlineStr">
        <is>
          <t>2026-09-23</t>
        </is>
      </c>
      <c r="AN15" s="5" t="inlineStr">
        <is>
          <t>LIKELY_ACTIVE</t>
        </is>
      </c>
      <c r="AO15" s="8" t="inlineStr">
        <is>
          <t>building security/controlled access</t>
        </is>
      </c>
      <c r="AP15" s="8" t="inlineStr">
        <is>
          <t>listing says the unit faces an avenue</t>
        </is>
      </c>
      <c r="AQ15" s="8" t="inlineStr">
        <is>
          <t>DIRECT_MAJOR_AVENUE; INCOMPLETE_CONTACT; PRICE_CONVERTED_FROM_PEN</t>
        </is>
      </c>
      <c r="AR15" s="5" t="inlineStr">
        <is>
          <t>DEMO Agente F</t>
        </is>
      </c>
      <c r="AS15" s="5" t="inlineStr">
        <is>
          <t>UNKNOWN</t>
        </is>
      </c>
      <c r="AT15" s="5" t="inlineStr">
        <is>
          <t>Urbania</t>
        </is>
      </c>
      <c r="AU15" s="6" t="n">
        <v>1</v>
      </c>
      <c r="AV15" s="5" t="inlineStr">
        <is>
          <t>G0029</t>
        </is>
      </c>
      <c r="AW15" s="5" t="inlineStr"/>
      <c r="AX15" s="10" t="inlineStr">
        <is>
          <t>View listing</t>
        </is>
      </c>
      <c r="AY15" s="5" t="inlineStr">
        <is>
          <t>—</t>
        </is>
      </c>
      <c r="AZ15" s="10" t="inlineStr">
        <is>
          <t>Open map</t>
        </is>
      </c>
      <c r="BA15" s="5" t="inlineStr">
        <is>
          <t>LISTING / EXACT</t>
        </is>
      </c>
      <c r="BB15" s="5" t="inlineStr">
        <is>
          <t>PROGRAMMATIC_PASS</t>
        </is>
      </c>
      <c r="BC15" s="5" t="inlineStr"/>
    </row>
    <row r="16">
      <c r="A16" s="6" t="n">
        <v>12</v>
      </c>
      <c r="B16" s="7" t="n">
        <v>63.5</v>
      </c>
      <c r="C16" s="8" t="inlineStr">
        <is>
          <t>1BR · 62 m² — Av. Ejemplo 201 (DEMO)</t>
        </is>
      </c>
      <c r="D16" s="5" t="inlineStr">
        <is>
          <t>PRIMARY</t>
        </is>
      </c>
      <c r="E16" s="5" t="inlineStr"/>
      <c r="F16" s="9" t="n">
        <v>782.87</v>
      </c>
      <c r="G16" s="5" t="inlineStr">
        <is>
          <t>PEN 2,650</t>
        </is>
      </c>
      <c r="H16" s="5" t="inlineStr">
        <is>
          <t>CALCULATED</t>
        </is>
      </c>
      <c r="I16" s="11" t="n">
        <v>2650</v>
      </c>
      <c r="J16" s="5" t="inlineStr">
        <is>
          <t>S/ 420 (≈ USD 124)</t>
        </is>
      </c>
      <c r="K16" s="5" t="inlineStr">
        <is>
          <t>PUBLISHED</t>
        </is>
      </c>
      <c r="L16" s="9" t="n">
        <v>906.95</v>
      </c>
      <c r="M16" s="6" t="n">
        <v>1</v>
      </c>
      <c r="N16" s="12" t="n">
        <v>2</v>
      </c>
      <c r="O16" s="6" t="n">
        <v>62</v>
      </c>
      <c r="P16" s="5" t="inlineStr">
        <is>
          <t>built</t>
        </is>
      </c>
      <c r="Q16" s="5" t="inlineStr">
        <is>
          <t>VERY_SPACIOUS</t>
        </is>
      </c>
      <c r="R16" s="7" t="n">
        <v>12.63</v>
      </c>
      <c r="S16" s="5" t="inlineStr">
        <is>
          <t>EXCELLENT_VALUE</t>
        </is>
      </c>
      <c r="T16" s="5" t="inlineStr">
        <is>
          <t>No</t>
        </is>
      </c>
      <c r="U16" s="5" t="inlineStr">
        <is>
          <t>No</t>
        </is>
      </c>
      <c r="V16" s="5" t="n">
        <v>3</v>
      </c>
      <c r="W16" s="5" t="inlineStr">
        <is>
          <t>Yes</t>
        </is>
      </c>
      <c r="X16" s="5" t="inlineStr">
        <is>
          <t>UNKNOWN</t>
        </is>
      </c>
      <c r="Y16" s="5" t="inlineStr">
        <is>
          <t>UNKNOWN</t>
        </is>
      </c>
      <c r="Z16" s="5" t="inlineStr">
        <is>
          <t>UNKNOWN</t>
        </is>
      </c>
      <c r="AA16" s="5" t="inlineStr">
        <is>
          <t>UNKNOWN</t>
        </is>
      </c>
      <c r="AB16" s="5" t="inlineStr">
        <is>
          <t>UNKNOWN</t>
        </is>
      </c>
      <c r="AC16" s="5" t="inlineStr">
        <is>
          <t>LOW · conf. medium</t>
        </is>
      </c>
      <c r="AD16" s="6" t="n">
        <v>72</v>
      </c>
      <c r="AE16" s="8" t="inlineStr">
        <is>
          <t>Nearest major road (Av. Demo Arterial (DEMO)) 1397 m away; no nightclub mapped within 500 m. Quietness estimate: medium confidence.</t>
        </is>
      </c>
      <c r="AF16" s="6" t="n">
        <v>1397</v>
      </c>
      <c r="AG16" s="6" t="n">
        <v>1342</v>
      </c>
      <c r="AH16" s="6" t="n">
        <v>0</v>
      </c>
      <c r="AI16" s="5" t="inlineStr">
        <is>
          <t>Malecón 834 m</t>
        </is>
      </c>
      <c r="AJ16" s="5" t="inlineStr">
        <is>
          <t>UNKNOWN</t>
        </is>
      </c>
      <c r="AK16" s="5" t="inlineStr">
        <is>
          <t>UNKNOWN</t>
        </is>
      </c>
      <c r="AL16" s="5" t="inlineStr">
        <is>
          <t>UNKNOWN</t>
        </is>
      </c>
      <c r="AM16" s="5" t="inlineStr">
        <is>
          <t>2026-08-10</t>
        </is>
      </c>
      <c r="AN16" s="5" t="inlineStr">
        <is>
          <t>LIKELY_ACTIVE</t>
        </is>
      </c>
      <c r="AO16" s="8" t="inlineStr">
        <is>
          <t>62 m² built area — very spacious for a 1-bedroom; low estimated noise (72/100); USD 12.6/m² (excellent value vs other 1BR in sample)</t>
        </is>
      </c>
      <c r="AP16" s="5" t="inlineStr">
        <is>
          <t>unfurnished</t>
        </is>
      </c>
      <c r="AQ16" s="8" t="inlineStr">
        <is>
          <t>INCOMPLETE_CONTACT; NO_FURNITURE; PRICE_CONVERTED_FROM_PEN</t>
        </is>
      </c>
      <c r="AR16" s="5" t="inlineStr">
        <is>
          <t>DEMO Agente G</t>
        </is>
      </c>
      <c r="AS16" s="5" t="inlineStr">
        <is>
          <t>UNKNOWN</t>
        </is>
      </c>
      <c r="AT16" s="5" t="inlineStr">
        <is>
          <t>Adondevivir</t>
        </is>
      </c>
      <c r="AU16" s="6" t="n">
        <v>1</v>
      </c>
      <c r="AV16" s="5" t="inlineStr">
        <is>
          <t>G0002</t>
        </is>
      </c>
      <c r="AW16" s="5" t="inlineStr"/>
      <c r="AX16" s="10" t="inlineStr">
        <is>
          <t>View listing</t>
        </is>
      </c>
      <c r="AY16" s="5" t="inlineStr">
        <is>
          <t>—</t>
        </is>
      </c>
      <c r="AZ16" s="10" t="inlineStr">
        <is>
          <t>Open map</t>
        </is>
      </c>
      <c r="BA16" s="5" t="inlineStr">
        <is>
          <t>LISTING / EXACT</t>
        </is>
      </c>
      <c r="BB16" s="5" t="inlineStr">
        <is>
          <t>PROGRAMMATIC_PASS</t>
        </is>
      </c>
      <c r="BC16" s="5" t="inlineStr"/>
    </row>
    <row r="17">
      <c r="A17" s="6" t="n">
        <v>13</v>
      </c>
      <c r="B17" s="7" t="n">
        <v>63.4</v>
      </c>
      <c r="C17" s="8" t="inlineStr">
        <is>
          <t>1BR · 41 m² — Av. Ejemplo 202 (DEMO)</t>
        </is>
      </c>
      <c r="D17" s="5" t="inlineStr">
        <is>
          <t>PRIMARY</t>
        </is>
      </c>
      <c r="E17" s="5" t="inlineStr"/>
      <c r="F17" s="9" t="n">
        <v>782.87</v>
      </c>
      <c r="G17" s="5" t="inlineStr">
        <is>
          <t>PEN 2,650</t>
        </is>
      </c>
      <c r="H17" s="5" t="inlineStr">
        <is>
          <t>CALCULATED</t>
        </is>
      </c>
      <c r="I17" s="11" t="n">
        <v>2650</v>
      </c>
      <c r="J17" s="5" t="inlineStr">
        <is>
          <t>S/ 300 (≈ USD 89)</t>
        </is>
      </c>
      <c r="K17" s="5" t="inlineStr">
        <is>
          <t>PUBLISHED</t>
        </is>
      </c>
      <c r="L17" s="9" t="n">
        <v>871.5</v>
      </c>
      <c r="M17" s="6" t="n">
        <v>1</v>
      </c>
      <c r="N17" s="12" t="n">
        <v>1</v>
      </c>
      <c r="O17" s="6" t="n">
        <v>41</v>
      </c>
      <c r="P17" s="5" t="inlineStr">
        <is>
          <t>built</t>
        </is>
      </c>
      <c r="Q17" s="5" t="inlineStr">
        <is>
          <t>ACCEPTABLE</t>
        </is>
      </c>
      <c r="R17" s="7" t="n">
        <v>19.09</v>
      </c>
      <c r="S17" s="5" t="inlineStr">
        <is>
          <t>FAIR_VALUE</t>
        </is>
      </c>
      <c r="T17" s="5" t="inlineStr">
        <is>
          <t>UNKNOWN</t>
        </is>
      </c>
      <c r="U17" s="5" t="inlineStr">
        <is>
          <t>No</t>
        </is>
      </c>
      <c r="V17" s="5" t="n">
        <v>4</v>
      </c>
      <c r="W17" s="5" t="inlineStr">
        <is>
          <t>Yes</t>
        </is>
      </c>
      <c r="X17" s="5" t="inlineStr">
        <is>
          <t>UNKNOWN</t>
        </is>
      </c>
      <c r="Y17" s="5" t="inlineStr">
        <is>
          <t>UNKNOWN</t>
        </is>
      </c>
      <c r="Z17" s="5" t="inlineStr">
        <is>
          <t>UNKNOWN</t>
        </is>
      </c>
      <c r="AA17" s="5" t="inlineStr">
        <is>
          <t>UNKNOWN</t>
        </is>
      </c>
      <c r="AB17" s="5" t="inlineStr">
        <is>
          <t>UNKNOWN</t>
        </is>
      </c>
      <c r="AC17" s="5" t="inlineStr">
        <is>
          <t>LOW · conf. medium</t>
        </is>
      </c>
      <c r="AD17" s="6" t="n">
        <v>72</v>
      </c>
      <c r="AE17" s="8" t="inlineStr">
        <is>
          <t>Nearest major road (Av. Demo Arterial (DEMO)) 1827 m away; no nightclub mapped within 500 m. Quietness estimate: medium confidence.</t>
        </is>
      </c>
      <c r="AF17" s="6" t="n">
        <v>1827</v>
      </c>
      <c r="AG17" s="6" t="n">
        <v>1841</v>
      </c>
      <c r="AH17" s="6" t="n">
        <v>0</v>
      </c>
      <c r="AI17" s="8" t="inlineStr">
        <is>
          <t>supermarket 354 m, Malecón 404 m</t>
        </is>
      </c>
      <c r="AJ17" s="5" t="inlineStr">
        <is>
          <t>UNKNOWN</t>
        </is>
      </c>
      <c r="AK17" s="5" t="inlineStr">
        <is>
          <t>UNKNOWN</t>
        </is>
      </c>
      <c r="AL17" s="5" t="inlineStr">
        <is>
          <t>UNKNOWN</t>
        </is>
      </c>
      <c r="AM17" s="5" t="inlineStr">
        <is>
          <t>2026-08-03</t>
        </is>
      </c>
      <c r="AN17" s="5" t="inlineStr">
        <is>
          <t>LIKELY_ACTIVE</t>
        </is>
      </c>
      <c r="AO17" s="8" t="inlineStr">
        <is>
          <t>low estimated noise (72/100); balcony/terrace</t>
        </is>
      </c>
      <c r="AP17" s="8" t="inlineStr">
        <is>
          <t>no direct phone/WhatsApp — contact via portal</t>
        </is>
      </c>
      <c r="AQ17" s="8" t="inlineStr">
        <is>
          <t>INCOMPLETE_CONTACT; PRICE_CONVERTED_FROM_PEN</t>
        </is>
      </c>
      <c r="AR17" s="5" t="inlineStr">
        <is>
          <t>DEMO Agente H</t>
        </is>
      </c>
      <c r="AS17" s="5" t="inlineStr">
        <is>
          <t>UNKNOWN</t>
        </is>
      </c>
      <c r="AT17" s="5" t="inlineStr">
        <is>
          <t>Urbania</t>
        </is>
      </c>
      <c r="AU17" s="6" t="n">
        <v>1</v>
      </c>
      <c r="AV17" s="5" t="inlineStr">
        <is>
          <t>G0003</t>
        </is>
      </c>
      <c r="AW17" s="5" t="inlineStr"/>
      <c r="AX17" s="10" t="inlineStr">
        <is>
          <t>View listing</t>
        </is>
      </c>
      <c r="AY17" s="5" t="inlineStr">
        <is>
          <t>—</t>
        </is>
      </c>
      <c r="AZ17" s="10" t="inlineStr">
        <is>
          <t>Open map</t>
        </is>
      </c>
      <c r="BA17" s="5" t="inlineStr">
        <is>
          <t>LISTING / EXACT</t>
        </is>
      </c>
      <c r="BB17" s="5" t="inlineStr">
        <is>
          <t>PROGRAMMATIC_PASS</t>
        </is>
      </c>
      <c r="BC17" s="5" t="inlineStr"/>
    </row>
    <row r="18">
      <c r="A18" s="6" t="n">
        <v>14</v>
      </c>
      <c r="B18" s="7" t="n">
        <v>63.4</v>
      </c>
      <c r="C18" s="8" t="inlineStr">
        <is>
          <t>2BR · 55 m² — Calle Ejemplo 115 (DEMO)</t>
        </is>
      </c>
      <c r="D18" s="5" t="inlineStr">
        <is>
          <t>PRIMARY</t>
        </is>
      </c>
      <c r="E18" s="5" t="inlineStr"/>
      <c r="F18" s="9" t="n">
        <v>890</v>
      </c>
      <c r="G18" s="5" t="inlineStr">
        <is>
          <t>USD 890</t>
        </is>
      </c>
      <c r="H18" s="5" t="inlineStr">
        <is>
          <t>PUBLISHED</t>
        </is>
      </c>
      <c r="I18" s="11" t="n">
        <v>3012.65</v>
      </c>
      <c r="J18" s="5" t="inlineStr">
        <is>
          <t>S/ 500 (≈ USD 148)</t>
        </is>
      </c>
      <c r="K18" s="5" t="inlineStr">
        <is>
          <t>PUBLISHED</t>
        </is>
      </c>
      <c r="L18" s="9" t="n">
        <v>1037.71</v>
      </c>
      <c r="M18" s="6" t="n">
        <v>2</v>
      </c>
      <c r="N18" s="12" t="n">
        <v>2</v>
      </c>
      <c r="O18" s="6" t="n">
        <v>55</v>
      </c>
      <c r="P18" s="5" t="inlineStr">
        <is>
          <t>built</t>
        </is>
      </c>
      <c r="Q18" s="5" t="inlineStr">
        <is>
          <t>ACCEPTABLE</t>
        </is>
      </c>
      <c r="R18" s="7" t="n">
        <v>16.18</v>
      </c>
      <c r="S18" s="8" t="inlineStr">
        <is>
          <t>EXPENSIVE_RELATIVE_TO_SAMPLE</t>
        </is>
      </c>
      <c r="T18" s="5" t="inlineStr">
        <is>
          <t>UNKNOWN</t>
        </is>
      </c>
      <c r="U18" s="5" t="inlineStr">
        <is>
          <t>UNKNOWN</t>
        </is>
      </c>
      <c r="V18" s="5" t="inlineStr">
        <is>
          <t>UNKNOWN</t>
        </is>
      </c>
      <c r="W18" s="5" t="inlineStr">
        <is>
          <t>UNKNOWN</t>
        </is>
      </c>
      <c r="X18" s="5" t="inlineStr">
        <is>
          <t>Yes</t>
        </is>
      </c>
      <c r="Y18" s="5" t="inlineStr">
        <is>
          <t>Yes</t>
        </is>
      </c>
      <c r="Z18" s="5" t="inlineStr">
        <is>
          <t>Yes</t>
        </is>
      </c>
      <c r="AA18" s="5" t="inlineStr">
        <is>
          <t>UNKNOWN</t>
        </is>
      </c>
      <c r="AB18" s="5" t="inlineStr">
        <is>
          <t>Yes</t>
        </is>
      </c>
      <c r="AC18" s="5" t="inlineStr">
        <is>
          <t>LOW · conf. high</t>
        </is>
      </c>
      <c r="AD18" s="6" t="n">
        <v>97</v>
      </c>
      <c r="AE18" s="8" t="inlineStr">
        <is>
          <t>Nearest major road (Av. Demo Arterial (DEMO)) 1513 m away; no nightclub mapped within 500 m; listing says interior-facing / contrafrente; acoustic / double-glazed windows mentioned; seller describes the street as quiet (unverified claim). Quietness estimate: high confidence.</t>
        </is>
      </c>
      <c r="AF18" s="6" t="n">
        <v>1513</v>
      </c>
      <c r="AG18" s="6" t="n">
        <v>1433</v>
      </c>
      <c r="AH18" s="6" t="n">
        <v>0</v>
      </c>
      <c r="AI18" s="5" t="inlineStr">
        <is>
          <t>Malecón 718 m</t>
        </is>
      </c>
      <c r="AJ18" s="5" t="inlineStr">
        <is>
          <t>12 months min.</t>
        </is>
      </c>
      <c r="AK18" s="8" t="inlineStr">
        <is>
          <t>2 months deposit; 1 in advance</t>
        </is>
      </c>
      <c r="AL18" s="5" t="inlineStr">
        <is>
          <t>UNKNOWN</t>
        </is>
      </c>
      <c r="AM18" s="5" t="inlineStr">
        <is>
          <t>2026-09-03</t>
        </is>
      </c>
      <c r="AN18" s="5" t="inlineStr">
        <is>
          <t>LIKELY_ACTIVE</t>
        </is>
      </c>
      <c r="AO18" s="8" t="inlineStr">
        <is>
          <t>low estimated noise (97/100); interior-facing; acoustic/double-glazed windows</t>
        </is>
      </c>
      <c r="AP18" s="8" t="inlineStr">
        <is>
          <t>rent + maintenance ≈ USD 1,038 (USD 890 rent + S/ 500 maintenance) exceeds USD 1,000</t>
        </is>
      </c>
      <c r="AQ18" s="8" t="inlineStr">
        <is>
          <t>TOTAL_COST_OVER_BUDGET</t>
        </is>
      </c>
      <c r="AR18" s="8" t="inlineStr">
        <is>
          <t>DEMO Inmobiliaria A</t>
        </is>
      </c>
      <c r="AS18" s="5" t="inlineStr">
        <is>
          <t>+5110001015</t>
        </is>
      </c>
      <c r="AT18" s="5" t="inlineStr">
        <is>
          <t>Adondevivir</t>
        </is>
      </c>
      <c r="AU18" s="6" t="n">
        <v>1</v>
      </c>
      <c r="AV18" s="5" t="inlineStr">
        <is>
          <t>G0016</t>
        </is>
      </c>
      <c r="AW18" s="5" t="inlineStr"/>
      <c r="AX18" s="10" t="inlineStr">
        <is>
          <t>View listing</t>
        </is>
      </c>
      <c r="AY18" s="5" t="inlineStr">
        <is>
          <t>—</t>
        </is>
      </c>
      <c r="AZ18" s="10" t="inlineStr">
        <is>
          <t>Open map</t>
        </is>
      </c>
      <c r="BA18" s="5" t="inlineStr">
        <is>
          <t>LISTING / EXACT</t>
        </is>
      </c>
      <c r="BB18" s="5" t="inlineStr">
        <is>
          <t>PROGRAMMATIC_PASS</t>
        </is>
      </c>
      <c r="BC18" s="5" t="inlineStr"/>
    </row>
    <row r="19">
      <c r="A19" s="6" t="n">
        <v>15</v>
      </c>
      <c r="B19" s="7" t="n">
        <v>63</v>
      </c>
      <c r="C19" s="8" t="inlineStr">
        <is>
          <t>2BR · 98 m² — Av. Ejemplo 205 (DEMO)</t>
        </is>
      </c>
      <c r="D19" s="5" t="inlineStr">
        <is>
          <t>PRIMARY</t>
        </is>
      </c>
      <c r="E19" s="5" t="inlineStr"/>
      <c r="F19" s="9" t="n">
        <v>856.72</v>
      </c>
      <c r="G19" s="5" t="inlineStr">
        <is>
          <t>PEN 2,900</t>
        </is>
      </c>
      <c r="H19" s="5" t="inlineStr">
        <is>
          <t>CALCULATED</t>
        </is>
      </c>
      <c r="I19" s="11" t="n">
        <v>2900</v>
      </c>
      <c r="J19" s="5" t="inlineStr">
        <is>
          <t>S/ 500 (≈ USD 148)</t>
        </is>
      </c>
      <c r="K19" s="5" t="inlineStr">
        <is>
          <t>PUBLISHED</t>
        </is>
      </c>
      <c r="L19" s="9" t="n">
        <v>1004.43</v>
      </c>
      <c r="M19" s="6" t="n">
        <v>2</v>
      </c>
      <c r="N19" s="12" t="n">
        <v>2</v>
      </c>
      <c r="O19" s="6" t="n">
        <v>98</v>
      </c>
      <c r="P19" s="5" t="inlineStr">
        <is>
          <t>built</t>
        </is>
      </c>
      <c r="Q19" s="5" t="inlineStr">
        <is>
          <t>VERY_SPACIOUS</t>
        </is>
      </c>
      <c r="R19" s="7" t="n">
        <v>8.74</v>
      </c>
      <c r="S19" s="5" t="inlineStr">
        <is>
          <t>EXCELLENT_VALUE</t>
        </is>
      </c>
      <c r="T19" s="5" t="inlineStr">
        <is>
          <t>Yes</t>
        </is>
      </c>
      <c r="U19" s="5" t="inlineStr">
        <is>
          <t>Yes (1)</t>
        </is>
      </c>
      <c r="V19" s="5" t="inlineStr">
        <is>
          <t>UNKNOWN</t>
        </is>
      </c>
      <c r="W19" s="5" t="inlineStr">
        <is>
          <t>UNKNOWN</t>
        </is>
      </c>
      <c r="X19" s="5" t="inlineStr">
        <is>
          <t>Yes</t>
        </is>
      </c>
      <c r="Y19" s="5" t="inlineStr">
        <is>
          <t>Yes</t>
        </is>
      </c>
      <c r="Z19" s="5" t="inlineStr">
        <is>
          <t>Yes</t>
        </is>
      </c>
      <c r="AA19" s="5" t="inlineStr">
        <is>
          <t>UNKNOWN</t>
        </is>
      </c>
      <c r="AB19" s="5" t="inlineStr">
        <is>
          <t>Yes</t>
        </is>
      </c>
      <c r="AC19" s="5" t="inlineStr">
        <is>
          <t>HIGH · conf. low</t>
        </is>
      </c>
      <c r="AD19" s="6" t="n">
        <v>44</v>
      </c>
      <c r="AE19" s="8" t="inlineStr">
        <is>
          <t>41 m from Av. Demo Arterial (DEMO) (major road); 32 m from Calle Demo Secundaria (DEMO); nightclub 'Discoteca Demo (DEMO)' 187 m away; 1 bar(s) within 150 m; listing says interior-facing / contrafrente; acoustic / double-glazed windows mentioned. Quietness estimate: low confidence.</t>
        </is>
      </c>
      <c r="AF19" s="6" t="n">
        <v>41</v>
      </c>
      <c r="AG19" s="6" t="n">
        <v>187</v>
      </c>
      <c r="AH19" s="6" t="n">
        <v>1</v>
      </c>
      <c r="AI19" s="8" t="inlineStr">
        <is>
          <t>bus/Metropolitano stop 264 m</t>
        </is>
      </c>
      <c r="AJ19" s="5" t="inlineStr">
        <is>
          <t>12 months min.</t>
        </is>
      </c>
      <c r="AK19" s="8" t="inlineStr">
        <is>
          <t>2 months deposit; 1 in advance</t>
        </is>
      </c>
      <c r="AL19" s="5" t="inlineStr">
        <is>
          <t>UNKNOWN</t>
        </is>
      </c>
      <c r="AM19" s="5" t="inlineStr">
        <is>
          <t>2026-08-27</t>
        </is>
      </c>
      <c r="AN19" s="5" t="inlineStr">
        <is>
          <t>LIKELY_ACTIVE</t>
        </is>
      </c>
      <c r="AO19" s="8" t="inlineStr">
        <is>
          <t>98 m² built area — very spacious for a 2-bedroom; interior-facing; acoustic/double-glazed windows</t>
        </is>
      </c>
      <c r="AP19" s="8" t="inlineStr">
        <is>
          <t>high estimated noise: 41 m from Av. Demo Arterial (DEMO) (major road)</t>
        </is>
      </c>
      <c r="AQ19" s="8" t="inlineStr">
        <is>
          <t>APPROXIMATE_LOCATION; DIRECT_MAJOR_AVENUE; HIGH_NOISE_RISK; INCOMPLETE_CONTACT; NIGHTLIFE_PROXIMITY; PRICE_CONVERTED_FROM_PEN; TOTAL_COST_OVER_BUDGET</t>
        </is>
      </c>
      <c r="AR19" s="5" t="inlineStr">
        <is>
          <t>DEMO Agente G</t>
        </is>
      </c>
      <c r="AS19" s="5" t="inlineStr">
        <is>
          <t>UNKNOWN</t>
        </is>
      </c>
      <c r="AT19" s="5" t="inlineStr">
        <is>
          <t>Adondevivir</t>
        </is>
      </c>
      <c r="AU19" s="6" t="n">
        <v>1</v>
      </c>
      <c r="AV19" s="5" t="inlineStr">
        <is>
          <t>G0006</t>
        </is>
      </c>
      <c r="AW19" s="5" t="inlineStr"/>
      <c r="AX19" s="10" t="inlineStr">
        <is>
          <t>View listing</t>
        </is>
      </c>
      <c r="AY19" s="5" t="inlineStr">
        <is>
          <t>—</t>
        </is>
      </c>
      <c r="AZ19" s="10" t="inlineStr">
        <is>
          <t>Open map</t>
        </is>
      </c>
      <c r="BA19" s="8" t="inlineStr">
        <is>
          <t>LISTING / APPROXIMATE</t>
        </is>
      </c>
      <c r="BB19" s="5" t="inlineStr">
        <is>
          <t>PROGRAMMATIC_PASS</t>
        </is>
      </c>
      <c r="BC19" s="5" t="inlineStr"/>
    </row>
    <row r="20">
      <c r="A20" s="6" t="n">
        <v>16</v>
      </c>
      <c r="B20" s="7" t="n">
        <v>62.9</v>
      </c>
      <c r="C20" s="8" t="inlineStr">
        <is>
          <t>2BR · 97 m² — Calle Ejemplo 106 (DEMO)</t>
        </is>
      </c>
      <c r="D20" s="5" t="inlineStr">
        <is>
          <t>PRIMARY</t>
        </is>
      </c>
      <c r="E20" s="5" t="inlineStr"/>
      <c r="F20" s="9" t="n">
        <v>970</v>
      </c>
      <c r="G20" s="5" t="inlineStr">
        <is>
          <t>USD 970</t>
        </is>
      </c>
      <c r="H20" s="5" t="inlineStr">
        <is>
          <t>PUBLISHED</t>
        </is>
      </c>
      <c r="I20" s="11" t="n">
        <v>3283.45</v>
      </c>
      <c r="J20" s="5" t="inlineStr">
        <is>
          <t>S/ 500 (≈ USD 148)</t>
        </is>
      </c>
      <c r="K20" s="5" t="inlineStr">
        <is>
          <t>PUBLISHED</t>
        </is>
      </c>
      <c r="L20" s="9" t="n">
        <v>1117.71</v>
      </c>
      <c r="M20" s="6" t="n">
        <v>2</v>
      </c>
      <c r="N20" s="12" t="n">
        <v>2</v>
      </c>
      <c r="O20" s="6" t="n">
        <v>97</v>
      </c>
      <c r="P20" s="5" t="inlineStr">
        <is>
          <t>built</t>
        </is>
      </c>
      <c r="Q20" s="5" t="inlineStr">
        <is>
          <t>VERY_SPACIOUS</t>
        </is>
      </c>
      <c r="R20" s="7" t="n">
        <v>10</v>
      </c>
      <c r="S20" s="5" t="inlineStr">
        <is>
          <t>EXCELLENT_VALUE</t>
        </is>
      </c>
      <c r="T20" s="5" t="inlineStr">
        <is>
          <t>Yes</t>
        </is>
      </c>
      <c r="U20" s="5" t="inlineStr">
        <is>
          <t>UNKNOWN</t>
        </is>
      </c>
      <c r="V20" s="5" t="n">
        <v>14</v>
      </c>
      <c r="W20" s="5" t="inlineStr">
        <is>
          <t>Yes</t>
        </is>
      </c>
      <c r="X20" s="5" t="inlineStr">
        <is>
          <t>UNKNOWN</t>
        </is>
      </c>
      <c r="Y20" s="5" t="inlineStr">
        <is>
          <t>Yes</t>
        </is>
      </c>
      <c r="Z20" s="5" t="inlineStr">
        <is>
          <t>Yes</t>
        </is>
      </c>
      <c r="AA20" s="5" t="inlineStr">
        <is>
          <t>UNKNOWN</t>
        </is>
      </c>
      <c r="AB20" s="5" t="inlineStr">
        <is>
          <t>UNKNOWN</t>
        </is>
      </c>
      <c r="AC20" s="8" t="inlineStr">
        <is>
          <t>MEDIUM · conf. medium</t>
        </is>
      </c>
      <c r="AD20" s="6" t="n">
        <v>60</v>
      </c>
      <c r="AE20" s="8" t="inlineStr">
        <is>
          <t>97 m from Vía Demo Expresa (DEMO) (major road); no nightclub mapped within 500 m; high floor (14). Quietness estimate: medium confidence.</t>
        </is>
      </c>
      <c r="AF20" s="6" t="n">
        <v>97</v>
      </c>
      <c r="AG20" s="6" t="n">
        <v>1837</v>
      </c>
      <c r="AH20" s="6" t="n">
        <v>0</v>
      </c>
      <c r="AI20" s="5" t="inlineStr">
        <is>
          <t>UNKNOWN</t>
        </is>
      </c>
      <c r="AJ20" s="5" t="inlineStr">
        <is>
          <t>UNKNOWN</t>
        </is>
      </c>
      <c r="AK20" s="5" t="inlineStr">
        <is>
          <t>UNKNOWN</t>
        </is>
      </c>
      <c r="AL20" s="5" t="inlineStr">
        <is>
          <t>UNKNOWN</t>
        </is>
      </c>
      <c r="AM20" s="5" t="inlineStr">
        <is>
          <t>2026-09-05</t>
        </is>
      </c>
      <c r="AN20" s="5" t="inlineStr">
        <is>
          <t>LIKELY_ACTIVE</t>
        </is>
      </c>
      <c r="AO20" s="8" t="inlineStr">
        <is>
          <t>97 m² built area — very spacious for a 2-bedroom; USD 10.0/m² (excellent value vs other 2BR in sample); furnished</t>
        </is>
      </c>
      <c r="AP20" s="8" t="inlineStr">
        <is>
          <t>rent + maintenance ≈ USD 1,118 (USD 970 rent + S/ 500 maintenance) exceeds USD 1,000</t>
        </is>
      </c>
      <c r="AQ20" s="8" t="inlineStr">
        <is>
          <t>TOTAL_COST_OVER_BUDGET</t>
        </is>
      </c>
      <c r="AR20" s="8" t="inlineStr">
        <is>
          <t>DEMO Inmobiliaria B</t>
        </is>
      </c>
      <c r="AS20" s="5" t="inlineStr">
        <is>
          <t>+5110001006</t>
        </is>
      </c>
      <c r="AT20" s="5" t="inlineStr">
        <is>
          <t>Urbania</t>
        </is>
      </c>
      <c r="AU20" s="6" t="n">
        <v>1</v>
      </c>
      <c r="AV20" s="5" t="inlineStr">
        <is>
          <t>G0007</t>
        </is>
      </c>
      <c r="AW20" s="5" t="inlineStr"/>
      <c r="AX20" s="10" t="inlineStr">
        <is>
          <t>View listing</t>
        </is>
      </c>
      <c r="AY20" s="5" t="inlineStr">
        <is>
          <t>—</t>
        </is>
      </c>
      <c r="AZ20" s="10" t="inlineStr">
        <is>
          <t>Open map</t>
        </is>
      </c>
      <c r="BA20" s="5" t="inlineStr">
        <is>
          <t>LISTING / EXACT</t>
        </is>
      </c>
      <c r="BB20" s="5" t="inlineStr">
        <is>
          <t>PROGRAMMATIC_PASS</t>
        </is>
      </c>
      <c r="BC20" s="5" t="inlineStr"/>
    </row>
    <row r="21">
      <c r="A21" s="6" t="n">
        <v>17</v>
      </c>
      <c r="B21" s="7" t="n">
        <v>62</v>
      </c>
      <c r="C21" s="8" t="inlineStr">
        <is>
          <t>2BR · 63 m² — Av. Ejemplo 216 (DEMO)</t>
        </is>
      </c>
      <c r="D21" s="5" t="inlineStr">
        <is>
          <t>PRIMARY</t>
        </is>
      </c>
      <c r="E21" s="5" t="inlineStr"/>
      <c r="F21" s="9" t="n">
        <v>886.26</v>
      </c>
      <c r="G21" s="5" t="inlineStr">
        <is>
          <t>PEN 3,000</t>
        </is>
      </c>
      <c r="H21" s="5" t="inlineStr">
        <is>
          <t>CALCULATED</t>
        </is>
      </c>
      <c r="I21" s="11" t="n">
        <v>3000</v>
      </c>
      <c r="J21" s="5" t="inlineStr">
        <is>
          <t>S/ 500 (≈ USD 148)</t>
        </is>
      </c>
      <c r="K21" s="5" t="inlineStr">
        <is>
          <t>PUBLISHED</t>
        </is>
      </c>
      <c r="L21" s="9" t="n">
        <v>1033.97</v>
      </c>
      <c r="M21" s="6" t="n">
        <v>2</v>
      </c>
      <c r="N21" s="12" t="n">
        <v>2</v>
      </c>
      <c r="O21" s="6" t="n">
        <v>63</v>
      </c>
      <c r="P21" s="5" t="inlineStr">
        <is>
          <t>built</t>
        </is>
      </c>
      <c r="Q21" s="5" t="inlineStr">
        <is>
          <t>ACCEPTABLE</t>
        </is>
      </c>
      <c r="R21" s="7" t="n">
        <v>14.07</v>
      </c>
      <c r="S21" s="5" t="inlineStr">
        <is>
          <t>FAIR_VALUE</t>
        </is>
      </c>
      <c r="T21" s="5" t="inlineStr">
        <is>
          <t>Yes</t>
        </is>
      </c>
      <c r="U21" s="5" t="inlineStr">
        <is>
          <t>Yes (1)</t>
        </is>
      </c>
      <c r="V21" s="5" t="inlineStr">
        <is>
          <t>UNKNOWN</t>
        </is>
      </c>
      <c r="W21" s="5" t="inlineStr">
        <is>
          <t>UNKNOWN</t>
        </is>
      </c>
      <c r="X21" s="5" t="inlineStr">
        <is>
          <t>UNKNOWN</t>
        </is>
      </c>
      <c r="Y21" s="5" t="inlineStr">
        <is>
          <t>UNKNOWN</t>
        </is>
      </c>
      <c r="Z21" s="5" t="inlineStr">
        <is>
          <t>Yes</t>
        </is>
      </c>
      <c r="AA21" s="5" t="inlineStr">
        <is>
          <t>UNKNOWN</t>
        </is>
      </c>
      <c r="AB21" s="5" t="inlineStr">
        <is>
          <t>UNKNOWN</t>
        </is>
      </c>
      <c r="AC21" s="5" t="inlineStr">
        <is>
          <t>MEDIUM · conf. low</t>
        </is>
      </c>
      <c r="AD21" s="6" t="n">
        <v>60</v>
      </c>
      <c r="AE21" s="8" t="inlineStr">
        <is>
          <t>Nearest major road (Av. Demo Arterial (DEMO)) 1626 m away; no nightclub mapped within 500 m; listing says it faces an avenue; portal location is approximate. Quietness estimate: low confidence.</t>
        </is>
      </c>
      <c r="AF21" s="6" t="n">
        <v>1626</v>
      </c>
      <c r="AG21" s="6" t="n">
        <v>1688</v>
      </c>
      <c r="AH21" s="6" t="n">
        <v>0</v>
      </c>
      <c r="AI21" s="8" t="inlineStr">
        <is>
          <t>supermarket 364 m, café 273 m, Malecón 605 m</t>
        </is>
      </c>
      <c r="AJ21" s="5" t="inlineStr">
        <is>
          <t>UNKNOWN</t>
        </is>
      </c>
      <c r="AK21" s="5" t="inlineStr">
        <is>
          <t>UNKNOWN</t>
        </is>
      </c>
      <c r="AL21" s="5" t="inlineStr">
        <is>
          <t>UNKNOWN</t>
        </is>
      </c>
      <c r="AM21" s="5" t="inlineStr">
        <is>
          <t>2026-08-09</t>
        </is>
      </c>
      <c r="AN21" s="5" t="inlineStr">
        <is>
          <t>LIKELY_ACTIVE</t>
        </is>
      </c>
      <c r="AO21" s="8" t="inlineStr">
        <is>
          <t>furnished; building security/controlled access</t>
        </is>
      </c>
      <c r="AP21" s="8" t="inlineStr">
        <is>
          <t>listing says the unit faces an avenue</t>
        </is>
      </c>
      <c r="AQ21" s="8" t="inlineStr">
        <is>
          <t>APPROXIMATE_LOCATION; DIRECT_MAJOR_AVENUE; INCOMPLETE_CONTACT; PRICE_CONVERTED_FROM_PEN; TOTAL_COST_OVER_BUDGET</t>
        </is>
      </c>
      <c r="AR21" s="5" t="inlineStr">
        <is>
          <t>DEMO Agente F</t>
        </is>
      </c>
      <c r="AS21" s="5" t="inlineStr">
        <is>
          <t>UNKNOWN</t>
        </is>
      </c>
      <c r="AT21" s="5" t="inlineStr">
        <is>
          <t>Urbania</t>
        </is>
      </c>
      <c r="AU21" s="6" t="n">
        <v>1</v>
      </c>
      <c r="AV21" s="5" t="inlineStr">
        <is>
          <t>G0017</t>
        </is>
      </c>
      <c r="AW21" s="5" t="inlineStr"/>
      <c r="AX21" s="10" t="inlineStr">
        <is>
          <t>View listing</t>
        </is>
      </c>
      <c r="AY21" s="5" t="inlineStr">
        <is>
          <t>—</t>
        </is>
      </c>
      <c r="AZ21" s="10" t="inlineStr">
        <is>
          <t>Open map</t>
        </is>
      </c>
      <c r="BA21" s="8" t="inlineStr">
        <is>
          <t>LISTING / APPROXIMATE</t>
        </is>
      </c>
      <c r="BB21" s="5" t="inlineStr">
        <is>
          <t>PROGRAMMATIC_PASS</t>
        </is>
      </c>
      <c r="BC21" s="5" t="inlineStr"/>
    </row>
    <row r="22">
      <c r="A22" s="6" t="n">
        <v>18</v>
      </c>
      <c r="B22" s="7" t="n">
        <v>60.8</v>
      </c>
      <c r="C22" s="8" t="inlineStr">
        <is>
          <t>1BR · 58 m² — Av. Ejemplo 231 (DEMO)</t>
        </is>
      </c>
      <c r="D22" s="5" t="inlineStr">
        <is>
          <t>PRIMARY</t>
        </is>
      </c>
      <c r="E22" s="5" t="inlineStr"/>
      <c r="F22" s="9" t="n">
        <v>797.64</v>
      </c>
      <c r="G22" s="5" t="inlineStr">
        <is>
          <t>PEN 2,700</t>
        </is>
      </c>
      <c r="H22" s="5" t="inlineStr">
        <is>
          <t>CALCULATED</t>
        </is>
      </c>
      <c r="I22" s="11" t="n">
        <v>2700</v>
      </c>
      <c r="J22" s="5" t="inlineStr">
        <is>
          <t>S/ 420 (≈ USD 124)</t>
        </is>
      </c>
      <c r="K22" s="5" t="inlineStr">
        <is>
          <t>PUBLISHED</t>
        </is>
      </c>
      <c r="L22" s="9" t="n">
        <v>921.72</v>
      </c>
      <c r="M22" s="6" t="n">
        <v>1</v>
      </c>
      <c r="N22" s="12" t="n">
        <v>1</v>
      </c>
      <c r="O22" s="6" t="n">
        <v>58</v>
      </c>
      <c r="P22" s="5" t="inlineStr">
        <is>
          <t>built</t>
        </is>
      </c>
      <c r="Q22" s="5" t="inlineStr">
        <is>
          <t>GOOD</t>
        </is>
      </c>
      <c r="R22" s="7" t="n">
        <v>13.75</v>
      </c>
      <c r="S22" s="5" t="inlineStr">
        <is>
          <t>EXCELLENT_VALUE</t>
        </is>
      </c>
      <c r="T22" s="5" t="inlineStr">
        <is>
          <t>Semi</t>
        </is>
      </c>
      <c r="U22" s="5" t="inlineStr">
        <is>
          <t>Yes (1)</t>
        </is>
      </c>
      <c r="V22" s="5" t="inlineStr">
        <is>
          <t>UNKNOWN</t>
        </is>
      </c>
      <c r="W22" s="5" t="inlineStr">
        <is>
          <t>UNKNOWN</t>
        </is>
      </c>
      <c r="X22" s="5" t="inlineStr">
        <is>
          <t>Yes</t>
        </is>
      </c>
      <c r="Y22" s="5" t="inlineStr">
        <is>
          <t>Yes</t>
        </is>
      </c>
      <c r="Z22" s="5" t="inlineStr">
        <is>
          <t>Yes</t>
        </is>
      </c>
      <c r="AA22" s="5" t="inlineStr">
        <is>
          <t>UNKNOWN</t>
        </is>
      </c>
      <c r="AB22" s="5" t="inlineStr">
        <is>
          <t>Yes</t>
        </is>
      </c>
      <c r="AC22" s="5" t="inlineStr">
        <is>
          <t>HIGH · conf. low</t>
        </is>
      </c>
      <c r="AD22" s="6" t="n">
        <v>40</v>
      </c>
      <c r="AE22" s="8" t="inlineStr">
        <is>
          <t>75 m from Av. Demo Arterial (DEMO) (major road); nightclub 'Discoteca Demo (DEMO)' 75 m away; 5 bars/pubs within 150 m; 14 restaurants within 150 m (busy frontage); listing says interior-facing / contrafrente; acoustic / double-glazed windows mentioned. Quietness estimate: low confidence.</t>
        </is>
      </c>
      <c r="AF22" s="6" t="n">
        <v>75</v>
      </c>
      <c r="AG22" s="6" t="n">
        <v>75</v>
      </c>
      <c r="AH22" s="6" t="n">
        <v>5</v>
      </c>
      <c r="AI22" s="8" t="inlineStr">
        <is>
          <t>bus/Metropolitano stop 114 m</t>
        </is>
      </c>
      <c r="AJ22" s="5" t="inlineStr">
        <is>
          <t>12 months min.</t>
        </is>
      </c>
      <c r="AK22" s="8" t="inlineStr">
        <is>
          <t>2 months deposit; 1 in advance</t>
        </is>
      </c>
      <c r="AL22" s="5" t="inlineStr">
        <is>
          <t>UNKNOWN</t>
        </is>
      </c>
      <c r="AM22" s="5" t="inlineStr">
        <is>
          <t>2026-08-03</t>
        </is>
      </c>
      <c r="AN22" s="5" t="inlineStr">
        <is>
          <t>LIKELY_ACTIVE</t>
        </is>
      </c>
      <c r="AO22" s="8" t="inlineStr">
        <is>
          <t>58 m² built area — good for a 1-bedroom; interior-facing; acoustic/double-glazed windows</t>
        </is>
      </c>
      <c r="AP22" s="8" t="inlineStr">
        <is>
          <t>high estimated noise: 75 m from Av. Demo Arterial (DEMO) (major road)</t>
        </is>
      </c>
      <c r="AQ22" s="8" t="inlineStr">
        <is>
          <t>APPROXIMATE_LOCATION; HIGH_NOISE_RISK; INCOMPLETE_CONTACT; NIGHTLIFE_PROXIMITY; PRICE_CONVERTED_FROM_PEN</t>
        </is>
      </c>
      <c r="AR22" s="5" t="inlineStr">
        <is>
          <t>DEMO Agente I</t>
        </is>
      </c>
      <c r="AS22" s="5" t="inlineStr">
        <is>
          <t>UNKNOWN</t>
        </is>
      </c>
      <c r="AT22" s="5" t="inlineStr">
        <is>
          <t>Adondevivir</t>
        </is>
      </c>
      <c r="AU22" s="6" t="n">
        <v>1</v>
      </c>
      <c r="AV22" s="5" t="inlineStr">
        <is>
          <t>G0032</t>
        </is>
      </c>
      <c r="AW22" s="5" t="inlineStr"/>
      <c r="AX22" s="10" t="inlineStr">
        <is>
          <t>View listing</t>
        </is>
      </c>
      <c r="AY22" s="5" t="inlineStr">
        <is>
          <t>—</t>
        </is>
      </c>
      <c r="AZ22" s="10" t="inlineStr">
        <is>
          <t>Open map</t>
        </is>
      </c>
      <c r="BA22" s="8" t="inlineStr">
        <is>
          <t>LISTING / APPROXIMATE</t>
        </is>
      </c>
      <c r="BB22" s="5" t="inlineStr">
        <is>
          <t>PROGRAMMATIC_PASS</t>
        </is>
      </c>
      <c r="BC22" s="5" t="inlineStr"/>
    </row>
    <row r="23">
      <c r="A23" s="6" t="n">
        <v>19</v>
      </c>
      <c r="B23" s="7" t="n">
        <v>59</v>
      </c>
      <c r="C23" s="8" t="inlineStr">
        <is>
          <t>2BR · 53 m² — Av. Ejemplo 223 (DEMO)</t>
        </is>
      </c>
      <c r="D23" s="5" t="inlineStr">
        <is>
          <t>PRIMARY</t>
        </is>
      </c>
      <c r="E23" s="5" t="inlineStr"/>
      <c r="F23" s="9" t="n">
        <v>960.12</v>
      </c>
      <c r="G23" s="5" t="inlineStr">
        <is>
          <t>PEN 3,250</t>
        </is>
      </c>
      <c r="H23" s="5" t="inlineStr">
        <is>
          <t>CALCULATED</t>
        </is>
      </c>
      <c r="I23" s="11" t="n">
        <v>3250</v>
      </c>
      <c r="J23" s="5" t="inlineStr">
        <is>
          <t>S/ 350 (≈ USD 103)</t>
        </is>
      </c>
      <c r="K23" s="5" t="inlineStr">
        <is>
          <t>PUBLISHED</t>
        </is>
      </c>
      <c r="L23" s="9" t="n">
        <v>1063.52</v>
      </c>
      <c r="M23" s="6" t="n">
        <v>2</v>
      </c>
      <c r="N23" s="12" t="n">
        <v>2</v>
      </c>
      <c r="O23" s="6" t="n">
        <v>53</v>
      </c>
      <c r="P23" s="5" t="inlineStr">
        <is>
          <t>built</t>
        </is>
      </c>
      <c r="Q23" s="5" t="inlineStr">
        <is>
          <t>SMALL</t>
        </is>
      </c>
      <c r="R23" s="7" t="n">
        <v>18.12</v>
      </c>
      <c r="S23" s="8" t="inlineStr">
        <is>
          <t>EXPENSIVE_RELATIVE_TO_SAMPLE</t>
        </is>
      </c>
      <c r="T23" s="5" t="inlineStr">
        <is>
          <t>Yes</t>
        </is>
      </c>
      <c r="U23" s="5" t="inlineStr">
        <is>
          <t>No</t>
        </is>
      </c>
      <c r="V23" s="5" t="inlineStr">
        <is>
          <t>UNKNOWN</t>
        </is>
      </c>
      <c r="W23" s="5" t="inlineStr">
        <is>
          <t>Yes</t>
        </is>
      </c>
      <c r="X23" s="5" t="inlineStr">
        <is>
          <t>UNKNOWN</t>
        </is>
      </c>
      <c r="Y23" s="5" t="inlineStr">
        <is>
          <t>UNKNOWN</t>
        </is>
      </c>
      <c r="Z23" s="5" t="inlineStr">
        <is>
          <t>Yes</t>
        </is>
      </c>
      <c r="AA23" s="5" t="inlineStr">
        <is>
          <t>Yes</t>
        </is>
      </c>
      <c r="AB23" s="5" t="inlineStr">
        <is>
          <t>UNKNOWN</t>
        </is>
      </c>
      <c r="AC23" s="5" t="inlineStr">
        <is>
          <t>LOW · conf. high</t>
        </is>
      </c>
      <c r="AD23" s="6" t="n">
        <v>72</v>
      </c>
      <c r="AE23" s="8" t="inlineStr">
        <is>
          <t>Nearest major road (Av. Demo Arterial (DEMO)) 790 m away; no nightclub mapped within 500 m. Quietness estimate: high confidence.</t>
        </is>
      </c>
      <c r="AF23" s="6" t="n">
        <v>790</v>
      </c>
      <c r="AG23" s="6" t="n">
        <v>1747</v>
      </c>
      <c r="AH23" s="6" t="n">
        <v>0</v>
      </c>
      <c r="AI23" s="5" t="inlineStr">
        <is>
          <t>supermarket 483 m</t>
        </is>
      </c>
      <c r="AJ23" s="5" t="inlineStr">
        <is>
          <t>12 months min.</t>
        </is>
      </c>
      <c r="AK23" s="5" t="inlineStr">
        <is>
          <t>2 months deposit</t>
        </is>
      </c>
      <c r="AL23" s="5" t="inlineStr">
        <is>
          <t>UNKNOWN</t>
        </is>
      </c>
      <c r="AM23" s="5" t="inlineStr">
        <is>
          <t>2026-09-17</t>
        </is>
      </c>
      <c r="AN23" s="5" t="inlineStr">
        <is>
          <t>LIKELY_ACTIVE</t>
        </is>
      </c>
      <c r="AO23" s="8" t="inlineStr">
        <is>
          <t>low estimated noise (72/100); furnished; building security/controlled access</t>
        </is>
      </c>
      <c r="AP23" s="8" t="inlineStr">
        <is>
          <t>rent + maintenance ≈ USD 1,064 (USD 960 rent + S/ 350 maintenance) exceeds USD 1,000</t>
        </is>
      </c>
      <c r="AQ23" s="8" t="inlineStr">
        <is>
          <t>INCOMPLETE_CONTACT; PRICE_CONVERTED_FROM_PEN; TOTAL_COST_OVER_BUDGET</t>
        </is>
      </c>
      <c r="AR23" s="5" t="inlineStr">
        <is>
          <t>DEMO Agente I</t>
        </is>
      </c>
      <c r="AS23" s="5" t="inlineStr">
        <is>
          <t>UNKNOWN</t>
        </is>
      </c>
      <c r="AT23" s="5" t="inlineStr">
        <is>
          <t>Adondevivir</t>
        </is>
      </c>
      <c r="AU23" s="6" t="n">
        <v>1</v>
      </c>
      <c r="AV23" s="5" t="inlineStr">
        <is>
          <t>G0024</t>
        </is>
      </c>
      <c r="AW23" s="5" t="inlineStr"/>
      <c r="AX23" s="10" t="inlineStr">
        <is>
          <t>View listing</t>
        </is>
      </c>
      <c r="AY23" s="5" t="inlineStr">
        <is>
          <t>—</t>
        </is>
      </c>
      <c r="AZ23" s="10" t="inlineStr">
        <is>
          <t>Open map</t>
        </is>
      </c>
      <c r="BA23" s="5" t="inlineStr">
        <is>
          <t>LISTING / EXACT</t>
        </is>
      </c>
      <c r="BB23" s="5" t="inlineStr">
        <is>
          <t>PROGRAMMATIC_PASS</t>
        </is>
      </c>
      <c r="BC23" s="5" t="inlineStr"/>
    </row>
    <row r="24">
      <c r="A24" s="6" t="n">
        <v>20</v>
      </c>
      <c r="B24" s="7" t="n">
        <v>58</v>
      </c>
      <c r="C24" s="8" t="inlineStr">
        <is>
          <t>1BR · 39 m² — Av. Ejemplo 220 (DEMO)</t>
        </is>
      </c>
      <c r="D24" s="5" t="inlineStr">
        <is>
          <t>PRIMARY</t>
        </is>
      </c>
      <c r="E24" s="5" t="inlineStr"/>
      <c r="F24" s="9" t="n">
        <v>812.41</v>
      </c>
      <c r="G24" s="5" t="inlineStr">
        <is>
          <t>PEN 2,750</t>
        </is>
      </c>
      <c r="H24" s="5" t="inlineStr">
        <is>
          <t>CALCULATED</t>
        </is>
      </c>
      <c r="I24" s="11" t="n">
        <v>2750</v>
      </c>
      <c r="J24" s="5" t="inlineStr">
        <is>
          <t>S/ 350 (≈ USD 103)</t>
        </is>
      </c>
      <c r="K24" s="5" t="inlineStr">
        <is>
          <t>PUBLISHED</t>
        </is>
      </c>
      <c r="L24" s="9" t="n">
        <v>915.8099999999999</v>
      </c>
      <c r="M24" s="6" t="n">
        <v>1</v>
      </c>
      <c r="N24" s="12" t="n">
        <v>1</v>
      </c>
      <c r="O24" s="6" t="n">
        <v>39</v>
      </c>
      <c r="P24" s="5" t="inlineStr">
        <is>
          <t>built</t>
        </is>
      </c>
      <c r="Q24" s="5" t="inlineStr">
        <is>
          <t>SMALL</t>
        </is>
      </c>
      <c r="R24" s="7" t="n">
        <v>20.83</v>
      </c>
      <c r="S24" s="8" t="inlineStr">
        <is>
          <t>EXPENSIVE_RELATIVE_TO_SAMPLE</t>
        </is>
      </c>
      <c r="T24" s="5" t="inlineStr">
        <is>
          <t>Yes</t>
        </is>
      </c>
      <c r="U24" s="5" t="inlineStr">
        <is>
          <t>Yes (1)</t>
        </is>
      </c>
      <c r="V24" s="5" t="n">
        <v>1</v>
      </c>
      <c r="W24" s="5" t="inlineStr">
        <is>
          <t>Yes</t>
        </is>
      </c>
      <c r="X24" s="5" t="inlineStr">
        <is>
          <t>UNKNOWN</t>
        </is>
      </c>
      <c r="Y24" s="5" t="inlineStr">
        <is>
          <t>UNKNOWN</t>
        </is>
      </c>
      <c r="Z24" s="5" t="inlineStr">
        <is>
          <t>UNKNOWN</t>
        </is>
      </c>
      <c r="AA24" s="5" t="inlineStr">
        <is>
          <t>UNKNOWN</t>
        </is>
      </c>
      <c r="AB24" s="5" t="inlineStr">
        <is>
          <t>UNKNOWN</t>
        </is>
      </c>
      <c r="AC24" s="5" t="inlineStr">
        <is>
          <t>MEDIUM · conf. low</t>
        </is>
      </c>
      <c r="AD24" s="6" t="n">
        <v>57</v>
      </c>
      <c r="AE24" s="8" t="inlineStr">
        <is>
          <t>87 m from Vía Demo Expresa (DEMO) (major road); no nightclub mapped within 500 m; portal location is approximate. Quietness estimate: low confidence.</t>
        </is>
      </c>
      <c r="AF24" s="6" t="n">
        <v>87</v>
      </c>
      <c r="AG24" s="6" t="n">
        <v>1716</v>
      </c>
      <c r="AH24" s="6" t="n">
        <v>0</v>
      </c>
      <c r="AI24" s="5" t="inlineStr">
        <is>
          <t>UNKNOWN</t>
        </is>
      </c>
      <c r="AJ24" s="5" t="inlineStr">
        <is>
          <t>UNKNOWN</t>
        </is>
      </c>
      <c r="AK24" s="5" t="inlineStr">
        <is>
          <t>UNKNOWN</t>
        </is>
      </c>
      <c r="AL24" s="5" t="inlineStr">
        <is>
          <t>UNKNOWN</t>
        </is>
      </c>
      <c r="AM24" s="5" t="inlineStr">
        <is>
          <t>2026-08-26</t>
        </is>
      </c>
      <c r="AN24" s="5" t="inlineStr">
        <is>
          <t>LIKELY_ACTIVE</t>
        </is>
      </c>
      <c r="AO24" s="8" t="inlineStr">
        <is>
          <t>furnished; balcony/terrace</t>
        </is>
      </c>
      <c r="AP24" s="8" t="inlineStr">
        <is>
          <t>portal shows an approximate location only</t>
        </is>
      </c>
      <c r="AQ24" s="8" t="inlineStr">
        <is>
          <t>APPROXIMATE_LOCATION; INCOMPLETE_CONTACT; PRICE_CONVERTED_FROM_PEN</t>
        </is>
      </c>
      <c r="AR24" s="5" t="inlineStr">
        <is>
          <t>DEMO Agente F</t>
        </is>
      </c>
      <c r="AS24" s="5" t="inlineStr">
        <is>
          <t>UNKNOWN</t>
        </is>
      </c>
      <c r="AT24" s="5" t="inlineStr">
        <is>
          <t>Urbania</t>
        </is>
      </c>
      <c r="AU24" s="6" t="n">
        <v>1</v>
      </c>
      <c r="AV24" s="5" t="inlineStr">
        <is>
          <t>G0021</t>
        </is>
      </c>
      <c r="AW24" s="5" t="inlineStr"/>
      <c r="AX24" s="10" t="inlineStr">
        <is>
          <t>View listing</t>
        </is>
      </c>
      <c r="AY24" s="5" t="inlineStr">
        <is>
          <t>—</t>
        </is>
      </c>
      <c r="AZ24" s="10" t="inlineStr">
        <is>
          <t>Open map</t>
        </is>
      </c>
      <c r="BA24" s="8" t="inlineStr">
        <is>
          <t>LISTING / APPROXIMATE</t>
        </is>
      </c>
      <c r="BB24" s="5" t="inlineStr">
        <is>
          <t>PROGRAMMATIC_PASS</t>
        </is>
      </c>
      <c r="BC24" s="5" t="inlineStr"/>
    </row>
    <row r="25">
      <c r="A25" s="6" t="n">
        <v>21</v>
      </c>
      <c r="B25" s="7" t="n">
        <v>57.5</v>
      </c>
      <c r="C25" s="8" t="inlineStr">
        <is>
          <t>1BR · 40 m² — Av. Ejemplo 208 (DEMO)</t>
        </is>
      </c>
      <c r="D25" s="5" t="inlineStr">
        <is>
          <t>PRIMARY</t>
        </is>
      </c>
      <c r="E25" s="5" t="inlineStr"/>
      <c r="F25" s="9" t="n">
        <v>841.95</v>
      </c>
      <c r="G25" s="5" t="inlineStr">
        <is>
          <t>PEN 2,850</t>
        </is>
      </c>
      <c r="H25" s="5" t="inlineStr">
        <is>
          <t>CALCULATED</t>
        </is>
      </c>
      <c r="I25" s="11" t="n">
        <v>2850</v>
      </c>
      <c r="J25" s="5" t="inlineStr">
        <is>
          <t>S/ 500 (≈ USD 148)</t>
        </is>
      </c>
      <c r="K25" s="5" t="inlineStr">
        <is>
          <t>PUBLISHED</t>
        </is>
      </c>
      <c r="L25" s="9" t="n">
        <v>989.66</v>
      </c>
      <c r="M25" s="6" t="n">
        <v>1</v>
      </c>
      <c r="N25" s="12" t="n">
        <v>2</v>
      </c>
      <c r="O25" s="6" t="n">
        <v>40</v>
      </c>
      <c r="P25" s="5" t="inlineStr">
        <is>
          <t>built</t>
        </is>
      </c>
      <c r="Q25" s="5" t="inlineStr">
        <is>
          <t>ACCEPTABLE</t>
        </is>
      </c>
      <c r="R25" s="7" t="n">
        <v>21.05</v>
      </c>
      <c r="S25" s="8" t="inlineStr">
        <is>
          <t>EXPENSIVE_RELATIVE_TO_SAMPLE</t>
        </is>
      </c>
      <c r="T25" s="5" t="inlineStr">
        <is>
          <t>Semi</t>
        </is>
      </c>
      <c r="U25" s="5" t="inlineStr">
        <is>
          <t>No</t>
        </is>
      </c>
      <c r="V25" s="5" t="inlineStr">
        <is>
          <t>UNKNOWN</t>
        </is>
      </c>
      <c r="W25" s="5" t="inlineStr">
        <is>
          <t>UNKNOWN</t>
        </is>
      </c>
      <c r="X25" s="5" t="inlineStr">
        <is>
          <t>UNKNOWN</t>
        </is>
      </c>
      <c r="Y25" s="5" t="inlineStr">
        <is>
          <t>UNKNOWN</t>
        </is>
      </c>
      <c r="Z25" s="5" t="inlineStr">
        <is>
          <t>Yes</t>
        </is>
      </c>
      <c r="AA25" s="5" t="inlineStr">
        <is>
          <t>UNKNOWN</t>
        </is>
      </c>
      <c r="AB25" s="5" t="inlineStr">
        <is>
          <t>UNKNOWN</t>
        </is>
      </c>
      <c r="AC25" s="8" t="inlineStr">
        <is>
          <t>MEDIUM · conf. high</t>
        </is>
      </c>
      <c r="AD25" s="6" t="n">
        <v>60</v>
      </c>
      <c r="AE25" s="8" t="inlineStr">
        <is>
          <t>Nearest major road (Av. Demo Arterial (DEMO)) 645 m away; no nightclub mapped within 500 m; listing says it faces an avenue. Quietness estimate: high confidence.</t>
        </is>
      </c>
      <c r="AF25" s="6" t="n">
        <v>645</v>
      </c>
      <c r="AG25" s="6" t="n">
        <v>1156</v>
      </c>
      <c r="AH25" s="6" t="n">
        <v>0</v>
      </c>
      <c r="AI25" s="5" t="inlineStr">
        <is>
          <t>park 279 m</t>
        </is>
      </c>
      <c r="AJ25" s="5" t="inlineStr">
        <is>
          <t>UNKNOWN</t>
        </is>
      </c>
      <c r="AK25" s="5" t="inlineStr">
        <is>
          <t>UNKNOWN</t>
        </is>
      </c>
      <c r="AL25" s="5" t="inlineStr">
        <is>
          <t>UNKNOWN</t>
        </is>
      </c>
      <c r="AM25" s="5" t="inlineStr">
        <is>
          <t>2026-08-06</t>
        </is>
      </c>
      <c r="AN25" s="5" t="inlineStr">
        <is>
          <t>LIKELY_ACTIVE</t>
        </is>
      </c>
      <c r="AO25" s="8" t="inlineStr">
        <is>
          <t>building security/controlled access</t>
        </is>
      </c>
      <c r="AP25" s="8" t="inlineStr">
        <is>
          <t>listing says the unit faces an avenue</t>
        </is>
      </c>
      <c r="AQ25" s="8" t="inlineStr">
        <is>
          <t>DIRECT_MAJOR_AVENUE; INCOMPLETE_CONTACT; PRICE_CONVERTED_FROM_PEN</t>
        </is>
      </c>
      <c r="AR25" s="5" t="inlineStr">
        <is>
          <t>DEMO Agente F</t>
        </is>
      </c>
      <c r="AS25" s="5" t="inlineStr">
        <is>
          <t>UNKNOWN</t>
        </is>
      </c>
      <c r="AT25" s="5" t="inlineStr">
        <is>
          <t>Urbania</t>
        </is>
      </c>
      <c r="AU25" s="6" t="n">
        <v>1</v>
      </c>
      <c r="AV25" s="5" t="inlineStr">
        <is>
          <t>G0009</t>
        </is>
      </c>
      <c r="AW25" s="5" t="inlineStr"/>
      <c r="AX25" s="10" t="inlineStr">
        <is>
          <t>View listing</t>
        </is>
      </c>
      <c r="AY25" s="5" t="inlineStr">
        <is>
          <t>—</t>
        </is>
      </c>
      <c r="AZ25" s="10" t="inlineStr">
        <is>
          <t>Open map</t>
        </is>
      </c>
      <c r="BA25" s="5" t="inlineStr">
        <is>
          <t>LISTING / EXACT</t>
        </is>
      </c>
      <c r="BB25" s="5" t="inlineStr">
        <is>
          <t>PROGRAMMATIC_PASS</t>
        </is>
      </c>
      <c r="BC25" s="5" t="inlineStr"/>
    </row>
    <row r="26">
      <c r="A26" s="6" t="n">
        <v>22</v>
      </c>
      <c r="B26" s="7" t="n">
        <v>52.1</v>
      </c>
      <c r="C26" s="8" t="inlineStr">
        <is>
          <t>2BR · 64 m² — Av. Ejemplo 214 (DEMO)</t>
        </is>
      </c>
      <c r="D26" s="5" t="inlineStr">
        <is>
          <t>PRIMARY</t>
        </is>
      </c>
      <c r="E26" s="5" t="inlineStr"/>
      <c r="F26" s="9" t="n">
        <v>974.89</v>
      </c>
      <c r="G26" s="5" t="inlineStr">
        <is>
          <t>PEN 3,300</t>
        </is>
      </c>
      <c r="H26" s="5" t="inlineStr">
        <is>
          <t>CALCULATED</t>
        </is>
      </c>
      <c r="I26" s="11" t="n">
        <v>3300</v>
      </c>
      <c r="J26" s="5" t="inlineStr">
        <is>
          <t>S/ 420 (≈ USD 124)</t>
        </is>
      </c>
      <c r="K26" s="5" t="inlineStr">
        <is>
          <t>PUBLISHED</t>
        </is>
      </c>
      <c r="L26" s="9" t="n">
        <v>1098.97</v>
      </c>
      <c r="M26" s="6" t="n">
        <v>2</v>
      </c>
      <c r="N26" s="12" t="n">
        <v>2</v>
      </c>
      <c r="O26" s="6" t="n">
        <v>64</v>
      </c>
      <c r="P26" s="5" t="inlineStr">
        <is>
          <t>built</t>
        </is>
      </c>
      <c r="Q26" s="5" t="inlineStr">
        <is>
          <t>ACCEPTABLE</t>
        </is>
      </c>
      <c r="R26" s="7" t="n">
        <v>15.23</v>
      </c>
      <c r="S26" s="8" t="inlineStr">
        <is>
          <t>EXPENSIVE_RELATIVE_TO_SAMPLE</t>
        </is>
      </c>
      <c r="T26" s="5" t="inlineStr">
        <is>
          <t>No</t>
        </is>
      </c>
      <c r="U26" s="5" t="inlineStr">
        <is>
          <t>No</t>
        </is>
      </c>
      <c r="V26" s="5" t="inlineStr">
        <is>
          <t>UNKNOWN</t>
        </is>
      </c>
      <c r="W26" s="5" t="inlineStr">
        <is>
          <t>UNKNOWN</t>
        </is>
      </c>
      <c r="X26" s="5" t="inlineStr">
        <is>
          <t>UNKNOWN</t>
        </is>
      </c>
      <c r="Y26" s="5" t="inlineStr">
        <is>
          <t>UNKNOWN</t>
        </is>
      </c>
      <c r="Z26" s="5" t="inlineStr">
        <is>
          <t>Yes</t>
        </is>
      </c>
      <c r="AA26" s="5" t="inlineStr">
        <is>
          <t>UNKNOWN</t>
        </is>
      </c>
      <c r="AB26" s="5" t="inlineStr">
        <is>
          <t>UNKNOWN</t>
        </is>
      </c>
      <c r="AC26" s="5" t="inlineStr">
        <is>
          <t>MEDIUM · conf. low</t>
        </is>
      </c>
      <c r="AD26" s="6" t="n">
        <v>60</v>
      </c>
      <c r="AE26" s="8" t="inlineStr">
        <is>
          <t>Nearest major road (Av. Demo Arterial (DEMO)) 1980 m away; no nightclub mapped within 500 m; listing says it faces an avenue; portal location is approximate. Quietness estimate: low confidence.</t>
        </is>
      </c>
      <c r="AF26" s="6" t="n">
        <v>1980</v>
      </c>
      <c r="AG26" s="6" t="n">
        <v>2060</v>
      </c>
      <c r="AH26" s="6" t="n">
        <v>0</v>
      </c>
      <c r="AI26" s="8" t="inlineStr">
        <is>
          <t>park 108 m, Malecón 251 m</t>
        </is>
      </c>
      <c r="AJ26" s="5" t="inlineStr">
        <is>
          <t>UNKNOWN</t>
        </is>
      </c>
      <c r="AK26" s="5" t="inlineStr">
        <is>
          <t>UNKNOWN</t>
        </is>
      </c>
      <c r="AL26" s="5" t="inlineStr">
        <is>
          <t>UNKNOWN</t>
        </is>
      </c>
      <c r="AM26" s="5" t="inlineStr">
        <is>
          <t>2026-09-10</t>
        </is>
      </c>
      <c r="AN26" s="5" t="inlineStr">
        <is>
          <t>LIKELY_ACTIVE</t>
        </is>
      </c>
      <c r="AO26" s="8" t="inlineStr">
        <is>
          <t>building security/controlled access</t>
        </is>
      </c>
      <c r="AP26" s="8" t="inlineStr">
        <is>
          <t>listing says the unit faces an avenue</t>
        </is>
      </c>
      <c r="AQ26" s="8" t="inlineStr">
        <is>
          <t>APPROXIMATE_LOCATION; DIRECT_MAJOR_AVENUE; INCOMPLETE_CONTACT; NO_FURNITURE; PRICE_CONVERTED_FROM_PEN; TOTAL_COST_OVER_BUDGET</t>
        </is>
      </c>
      <c r="AR26" s="5" t="inlineStr">
        <is>
          <t>DEMO Agente H</t>
        </is>
      </c>
      <c r="AS26" s="5" t="inlineStr">
        <is>
          <t>UNKNOWN</t>
        </is>
      </c>
      <c r="AT26" s="5" t="inlineStr">
        <is>
          <t>Urbania</t>
        </is>
      </c>
      <c r="AU26" s="6" t="n">
        <v>1</v>
      </c>
      <c r="AV26" s="5" t="inlineStr">
        <is>
          <t>G0015</t>
        </is>
      </c>
      <c r="AW26" s="5" t="inlineStr"/>
      <c r="AX26" s="10" t="inlineStr">
        <is>
          <t>View listing</t>
        </is>
      </c>
      <c r="AY26" s="5" t="inlineStr">
        <is>
          <t>—</t>
        </is>
      </c>
      <c r="AZ26" s="10" t="inlineStr">
        <is>
          <t>Open map</t>
        </is>
      </c>
      <c r="BA26" s="8" t="inlineStr">
        <is>
          <t>LISTING / APPROXIMATE</t>
        </is>
      </c>
      <c r="BB26" s="5" t="inlineStr">
        <is>
          <t>PROGRAMMATIC_PASS</t>
        </is>
      </c>
      <c r="BC26" s="5" t="inlineStr"/>
    </row>
    <row r="27">
      <c r="A27" s="6" t="n">
        <v>23</v>
      </c>
      <c r="B27" s="7" t="n">
        <v>65.90000000000001</v>
      </c>
      <c r="C27" s="8" t="inlineStr">
        <is>
          <t>1BR · 62 m² — Calle Ejemplo 118 (DEMO)</t>
        </is>
      </c>
      <c r="D27" s="5" t="inlineStr">
        <is>
          <t>PRIMARY</t>
        </is>
      </c>
      <c r="E27" s="5" t="inlineStr"/>
      <c r="F27" s="9" t="n">
        <v>790</v>
      </c>
      <c r="G27" s="5" t="inlineStr">
        <is>
          <t>USD 790</t>
        </is>
      </c>
      <c r="H27" s="5" t="inlineStr">
        <is>
          <t>PUBLISHED</t>
        </is>
      </c>
      <c r="I27" s="11" t="n">
        <v>2674.15</v>
      </c>
      <c r="J27" s="5" t="inlineStr">
        <is>
          <t>S/ 300 (≈ USD 89)</t>
        </is>
      </c>
      <c r="K27" s="5" t="inlineStr">
        <is>
          <t>PUBLISHED</t>
        </is>
      </c>
      <c r="L27" s="9" t="n">
        <v>878.63</v>
      </c>
      <c r="M27" s="6" t="n">
        <v>1</v>
      </c>
      <c r="N27" s="12" t="n">
        <v>2</v>
      </c>
      <c r="O27" s="6" t="n">
        <v>62</v>
      </c>
      <c r="P27" s="5" t="inlineStr">
        <is>
          <t>built</t>
        </is>
      </c>
      <c r="Q27" s="5" t="inlineStr">
        <is>
          <t>VERY_SPACIOUS</t>
        </is>
      </c>
      <c r="R27" s="7" t="n">
        <v>12.74</v>
      </c>
      <c r="S27" s="5" t="inlineStr">
        <is>
          <t>EXCELLENT_VALUE</t>
        </is>
      </c>
      <c r="T27" s="5" t="inlineStr">
        <is>
          <t>Yes</t>
        </is>
      </c>
      <c r="U27" s="5" t="inlineStr">
        <is>
          <t>UNKNOWN</t>
        </is>
      </c>
      <c r="V27" s="5" t="inlineStr">
        <is>
          <t>UNKNOWN</t>
        </is>
      </c>
      <c r="W27" s="5" t="inlineStr">
        <is>
          <t>UNKNOWN</t>
        </is>
      </c>
      <c r="X27" s="5" t="inlineStr">
        <is>
          <t>Yes</t>
        </is>
      </c>
      <c r="Y27" s="5" t="inlineStr">
        <is>
          <t>Yes</t>
        </is>
      </c>
      <c r="Z27" s="5" t="inlineStr">
        <is>
          <t>Yes</t>
        </is>
      </c>
      <c r="AA27" s="5" t="inlineStr">
        <is>
          <t>UNKNOWN</t>
        </is>
      </c>
      <c r="AB27" s="5" t="inlineStr">
        <is>
          <t>UNKNOWN</t>
        </is>
      </c>
      <c r="AC27" s="5" t="inlineStr">
        <is>
          <t>HIGH · conf. high</t>
        </is>
      </c>
      <c r="AD27" s="6" t="n">
        <v>28</v>
      </c>
      <c r="AE27" s="8" t="inlineStr">
        <is>
          <t>61 m from Av. Demo Arterial (DEMO) (major road); nightclub 'Discoteca Demo (DEMO)' 190 m away; 2 bar(s) within 150 m; listing says it faces an avenue. Quietness estimate: high confidence.</t>
        </is>
      </c>
      <c r="AF27" s="6" t="n">
        <v>61</v>
      </c>
      <c r="AG27" s="6" t="n">
        <v>190</v>
      </c>
      <c r="AH27" s="6" t="n">
        <v>2</v>
      </c>
      <c r="AI27" s="8" t="inlineStr">
        <is>
          <t>bus/Metropolitano stop 129 m</t>
        </is>
      </c>
      <c r="AJ27" s="5" t="inlineStr">
        <is>
          <t>UNKNOWN</t>
        </is>
      </c>
      <c r="AK27" s="5" t="inlineStr">
        <is>
          <t>UNKNOWN</t>
        </is>
      </c>
      <c r="AL27" s="5" t="inlineStr">
        <is>
          <t>UNKNOWN</t>
        </is>
      </c>
      <c r="AM27" s="5" t="inlineStr">
        <is>
          <t>2026-09-21</t>
        </is>
      </c>
      <c r="AN27" s="5" t="inlineStr">
        <is>
          <t>LIKELY_ACTIVE</t>
        </is>
      </c>
      <c r="AO27" s="8" t="inlineStr">
        <is>
          <t>62 m² built area — very spacious for a 1-bedroom; USD 12.7/m² (excellent value vs other 1BR in sample); furnished</t>
        </is>
      </c>
      <c r="AP27" s="8" t="inlineStr">
        <is>
          <t>high estimated noise: 61 m from Av. Demo Arterial (DEMO) (major road)</t>
        </is>
      </c>
      <c r="AQ27" s="8" t="inlineStr">
        <is>
          <t>DIRECT_MAJOR_AVENUE; HIGH_NOISE_RISK; NIGHTLIFE_PROXIMITY</t>
        </is>
      </c>
      <c r="AR27" s="8" t="inlineStr">
        <is>
          <t>DEMO Inmobiliaria D</t>
        </is>
      </c>
      <c r="AS27" s="5" t="inlineStr">
        <is>
          <t>+5110001018</t>
        </is>
      </c>
      <c r="AT27" s="5" t="inlineStr">
        <is>
          <t>Urbania</t>
        </is>
      </c>
      <c r="AU27" s="6" t="n">
        <v>1</v>
      </c>
      <c r="AV27" s="5" t="inlineStr">
        <is>
          <t>G0019</t>
        </is>
      </c>
      <c r="AW27" s="5" t="inlineStr"/>
      <c r="AX27" s="10" t="inlineStr">
        <is>
          <t>View listing</t>
        </is>
      </c>
      <c r="AY27" s="5" t="inlineStr">
        <is>
          <t>—</t>
        </is>
      </c>
      <c r="AZ27" s="10" t="inlineStr">
        <is>
          <t>Open map</t>
        </is>
      </c>
      <c r="BA27" s="5" t="inlineStr">
        <is>
          <t>LISTING / EXACT</t>
        </is>
      </c>
      <c r="BB27" s="5" t="inlineStr">
        <is>
          <t>PROGRAMMATIC_PASS</t>
        </is>
      </c>
      <c r="BC27" s="5" t="inlineStr"/>
    </row>
    <row r="28">
      <c r="A28" s="6" t="n">
        <v>24</v>
      </c>
      <c r="B28" s="7" t="n">
        <v>64.3</v>
      </c>
      <c r="C28" s="8" t="inlineStr">
        <is>
          <t>1BR · 66 m² — Av. Ejemplo 204 (DEMO)</t>
        </is>
      </c>
      <c r="D28" s="5" t="inlineStr">
        <is>
          <t>PRIMARY</t>
        </is>
      </c>
      <c r="E28" s="5" t="inlineStr"/>
      <c r="F28" s="9" t="n">
        <v>679.47</v>
      </c>
      <c r="G28" s="5" t="inlineStr">
        <is>
          <t>PEN 2,300</t>
        </is>
      </c>
      <c r="H28" s="5" t="inlineStr">
        <is>
          <t>CALCULATED</t>
        </is>
      </c>
      <c r="I28" s="11" t="n">
        <v>2300</v>
      </c>
      <c r="J28" s="5" t="inlineStr">
        <is>
          <t>S/ 420 (≈ USD 124)</t>
        </is>
      </c>
      <c r="K28" s="5" t="inlineStr">
        <is>
          <t>PUBLISHED</t>
        </is>
      </c>
      <c r="L28" s="9" t="n">
        <v>803.55</v>
      </c>
      <c r="M28" s="6" t="n">
        <v>1</v>
      </c>
      <c r="N28" s="12" t="n">
        <v>1</v>
      </c>
      <c r="O28" s="6" t="n">
        <v>66</v>
      </c>
      <c r="P28" s="5" t="inlineStr">
        <is>
          <t>built</t>
        </is>
      </c>
      <c r="Q28" s="5" t="inlineStr">
        <is>
          <t>VERY_SPACIOUS</t>
        </is>
      </c>
      <c r="R28" s="7" t="n">
        <v>10.29</v>
      </c>
      <c r="S28" s="5" t="inlineStr">
        <is>
          <t>EXCELLENT_VALUE</t>
        </is>
      </c>
      <c r="T28" s="5" t="inlineStr">
        <is>
          <t>Yes</t>
        </is>
      </c>
      <c r="U28" s="5" t="inlineStr">
        <is>
          <t>No</t>
        </is>
      </c>
      <c r="V28" s="5" t="inlineStr">
        <is>
          <t>UNKNOWN</t>
        </is>
      </c>
      <c r="W28" s="5" t="inlineStr">
        <is>
          <t>UNKNOWN</t>
        </is>
      </c>
      <c r="X28" s="5" t="inlineStr">
        <is>
          <t>Yes</t>
        </is>
      </c>
      <c r="Y28" s="5" t="inlineStr">
        <is>
          <t>Yes</t>
        </is>
      </c>
      <c r="Z28" s="5" t="inlineStr">
        <is>
          <t>Yes</t>
        </is>
      </c>
      <c r="AA28" s="5" t="inlineStr">
        <is>
          <t>UNKNOWN</t>
        </is>
      </c>
      <c r="AB28" s="5" t="inlineStr">
        <is>
          <t>Yes</t>
        </is>
      </c>
      <c r="AC28" s="5" t="inlineStr">
        <is>
          <t>HIGH · conf. high</t>
        </is>
      </c>
      <c r="AD28" s="6" t="n">
        <v>24</v>
      </c>
      <c r="AE28" s="8" t="inlineStr">
        <is>
          <t>48 m from Av. Demo Arterial (DEMO) (major road); 56 m from Calle Demo Secundaria (DEMO); nightclub 'Discoteca Demo (DEMO)' 113 m away; 3 bars/pubs within 150 m; listing says interior-facing / contrafrente; acoustic / double-glazed windows mentioned. Quietness estimate: high confidence.</t>
        </is>
      </c>
      <c r="AF28" s="6" t="n">
        <v>48</v>
      </c>
      <c r="AG28" s="6" t="n">
        <v>113</v>
      </c>
      <c r="AH28" s="6" t="n">
        <v>3</v>
      </c>
      <c r="AI28" s="8" t="inlineStr">
        <is>
          <t>bus/Metropolitano stop 184 m</t>
        </is>
      </c>
      <c r="AJ28" s="5" t="inlineStr">
        <is>
          <t>12 months min.</t>
        </is>
      </c>
      <c r="AK28" s="8" t="inlineStr">
        <is>
          <t>2 months deposit; 1 in advance</t>
        </is>
      </c>
      <c r="AL28" s="5" t="inlineStr">
        <is>
          <t>UNKNOWN</t>
        </is>
      </c>
      <c r="AM28" s="5" t="inlineStr">
        <is>
          <t>2026-08-04</t>
        </is>
      </c>
      <c r="AN28" s="5" t="inlineStr">
        <is>
          <t>LIKELY_ACTIVE</t>
        </is>
      </c>
      <c r="AO28" s="8" t="inlineStr">
        <is>
          <t>66 m² built area — very spacious for a 1-bedroom; interior-facing; acoustic/double-glazed windows</t>
        </is>
      </c>
      <c r="AP28" s="8" t="inlineStr">
        <is>
          <t>high estimated noise: 48 m from Av. Demo Arterial (DEMO) (major road)</t>
        </is>
      </c>
      <c r="AQ28" s="8" t="inlineStr">
        <is>
          <t>DIRECT_MAJOR_AVENUE; HIGH_NOISE_RISK; INCOMPLETE_CONTACT; NIGHTLIFE_PROXIMITY; PRICE_CONVERTED_FROM_PEN</t>
        </is>
      </c>
      <c r="AR28" s="5" t="inlineStr">
        <is>
          <t>DEMO Agente F</t>
        </is>
      </c>
      <c r="AS28" s="5" t="inlineStr">
        <is>
          <t>UNKNOWN</t>
        </is>
      </c>
      <c r="AT28" s="5" t="inlineStr">
        <is>
          <t>Urbania</t>
        </is>
      </c>
      <c r="AU28" s="6" t="n">
        <v>1</v>
      </c>
      <c r="AV28" s="5" t="inlineStr">
        <is>
          <t>G0005</t>
        </is>
      </c>
      <c r="AW28" s="5" t="inlineStr"/>
      <c r="AX28" s="10" t="inlineStr">
        <is>
          <t>View listing</t>
        </is>
      </c>
      <c r="AY28" s="5" t="inlineStr">
        <is>
          <t>—</t>
        </is>
      </c>
      <c r="AZ28" s="10" t="inlineStr">
        <is>
          <t>Open map</t>
        </is>
      </c>
      <c r="BA28" s="5" t="inlineStr">
        <is>
          <t>LISTING / EXACT</t>
        </is>
      </c>
      <c r="BB28" s="5" t="inlineStr">
        <is>
          <t>PROGRAMMATIC_PASS</t>
        </is>
      </c>
      <c r="BC28" s="5" t="inlineStr"/>
    </row>
    <row r="29">
      <c r="A29" s="6" t="n">
        <v>25</v>
      </c>
      <c r="B29" s="7" t="n">
        <v>56.5</v>
      </c>
      <c r="C29" s="8" t="inlineStr">
        <is>
          <t>2BR · 93 m² — Calle Ejemplo 133 (DEMO)</t>
        </is>
      </c>
      <c r="D29" s="5" t="inlineStr">
        <is>
          <t>PRIMARY</t>
        </is>
      </c>
      <c r="E29" s="5" t="inlineStr"/>
      <c r="F29" s="9" t="n">
        <v>960</v>
      </c>
      <c r="G29" s="5" t="inlineStr">
        <is>
          <t>USD 960</t>
        </is>
      </c>
      <c r="H29" s="5" t="inlineStr">
        <is>
          <t>PUBLISHED</t>
        </is>
      </c>
      <c r="I29" s="11" t="n">
        <v>3249.6</v>
      </c>
      <c r="J29" s="5" t="inlineStr">
        <is>
          <t>S/ 420 (≈ USD 124)</t>
        </is>
      </c>
      <c r="K29" s="5" t="inlineStr">
        <is>
          <t>PUBLISHED</t>
        </is>
      </c>
      <c r="L29" s="9" t="n">
        <v>1084.08</v>
      </c>
      <c r="M29" s="6" t="n">
        <v>2</v>
      </c>
      <c r="N29" s="12" t="n">
        <v>2</v>
      </c>
      <c r="O29" s="6" t="n">
        <v>93</v>
      </c>
      <c r="P29" s="5" t="inlineStr">
        <is>
          <t>built</t>
        </is>
      </c>
      <c r="Q29" s="5" t="inlineStr">
        <is>
          <t>VERY_SPACIOUS</t>
        </is>
      </c>
      <c r="R29" s="7" t="n">
        <v>10.32</v>
      </c>
      <c r="S29" s="5" t="inlineStr">
        <is>
          <t>GOOD_VALUE</t>
        </is>
      </c>
      <c r="T29" s="5" t="inlineStr">
        <is>
          <t>Yes</t>
        </is>
      </c>
      <c r="U29" s="5" t="inlineStr">
        <is>
          <t>UNKNOWN</t>
        </is>
      </c>
      <c r="V29" s="5" t="inlineStr">
        <is>
          <t>UNKNOWN</t>
        </is>
      </c>
      <c r="W29" s="5" t="inlineStr">
        <is>
          <t>Yes</t>
        </is>
      </c>
      <c r="X29" s="5" t="inlineStr">
        <is>
          <t>Yes</t>
        </is>
      </c>
      <c r="Y29" s="5" t="inlineStr">
        <is>
          <t>UNKNOWN</t>
        </is>
      </c>
      <c r="Z29" s="5" t="inlineStr">
        <is>
          <t>Yes</t>
        </is>
      </c>
      <c r="AA29" s="5" t="inlineStr">
        <is>
          <t>Yes</t>
        </is>
      </c>
      <c r="AB29" s="5" t="inlineStr">
        <is>
          <t>UNKNOWN</t>
        </is>
      </c>
      <c r="AC29" s="5" t="inlineStr">
        <is>
          <t>HIGH · conf. high</t>
        </is>
      </c>
      <c r="AD29" s="6" t="n">
        <v>22</v>
      </c>
      <c r="AE29" s="8" t="inlineStr">
        <is>
          <t>95 m from Av. Demo Arterial (DEMO) (major road); fronts/adjacent to Calle Demo Secundaria (DEMO) (24 m); nightclub 'Discoteca Demo (DEMO)' 251 m away; 1 bar(s) within 150 m; street-facing unit near a major road. Quietness estimate: high confidence.</t>
        </is>
      </c>
      <c r="AF29" s="6" t="n">
        <v>95</v>
      </c>
      <c r="AG29" s="6" t="n">
        <v>251</v>
      </c>
      <c r="AH29" s="6" t="n">
        <v>1</v>
      </c>
      <c r="AI29" s="8" t="inlineStr">
        <is>
          <t>bus/Metropolitano stop 207 m</t>
        </is>
      </c>
      <c r="AJ29" s="5" t="inlineStr">
        <is>
          <t>12 months min.</t>
        </is>
      </c>
      <c r="AK29" s="5" t="inlineStr">
        <is>
          <t>2 months deposit</t>
        </is>
      </c>
      <c r="AL29" s="5" t="inlineStr">
        <is>
          <t>UNKNOWN</t>
        </is>
      </c>
      <c r="AM29" s="5" t="inlineStr">
        <is>
          <t>2026-09-17</t>
        </is>
      </c>
      <c r="AN29" s="5" t="inlineStr">
        <is>
          <t>LIKELY_ACTIVE</t>
        </is>
      </c>
      <c r="AO29" s="8" t="inlineStr">
        <is>
          <t>93 m² built area — very spacious for a 2-bedroom; USD 10.3/m² (good value vs other 2BR in sample); furnished</t>
        </is>
      </c>
      <c r="AP29" s="8" t="inlineStr">
        <is>
          <t>high estimated noise: 95 m from Av. Demo Arterial (DEMO) (major road)</t>
        </is>
      </c>
      <c r="AQ29" s="8" t="inlineStr">
        <is>
          <t>HIGH_NOISE_RISK; NIGHTLIFE_PROXIMITY; TOTAL_COST_OVER_BUDGET</t>
        </is>
      </c>
      <c r="AR29" s="8" t="inlineStr">
        <is>
          <t>DEMO Inmobiliaria D</t>
        </is>
      </c>
      <c r="AS29" s="5" t="inlineStr">
        <is>
          <t>+5110001033</t>
        </is>
      </c>
      <c r="AT29" s="5" t="inlineStr">
        <is>
          <t>Adondevivir</t>
        </is>
      </c>
      <c r="AU29" s="6" t="n">
        <v>1</v>
      </c>
      <c r="AV29" s="5" t="inlineStr">
        <is>
          <t>G0034</t>
        </is>
      </c>
      <c r="AW29" s="5" t="inlineStr"/>
      <c r="AX29" s="10" t="inlineStr">
        <is>
          <t>View listing</t>
        </is>
      </c>
      <c r="AY29" s="5" t="inlineStr">
        <is>
          <t>—</t>
        </is>
      </c>
      <c r="AZ29" s="10" t="inlineStr">
        <is>
          <t>Open map</t>
        </is>
      </c>
      <c r="BA29" s="5" t="inlineStr">
        <is>
          <t>LISTING / EXACT</t>
        </is>
      </c>
      <c r="BB29" s="5" t="inlineStr">
        <is>
          <t>PROGRAMMATIC_PASS</t>
        </is>
      </c>
      <c r="BC29" s="5" t="inlineStr"/>
    </row>
    <row r="30">
      <c r="A30" s="6" t="n">
        <v>26</v>
      </c>
      <c r="B30" s="7" t="n">
        <v>44.1</v>
      </c>
      <c r="C30" s="8" t="inlineStr">
        <is>
          <t>1BR · 50 m² — Av. Ejemplo 232 (DEMO)</t>
        </is>
      </c>
      <c r="D30" s="5" t="inlineStr">
        <is>
          <t>PRIMARY</t>
        </is>
      </c>
      <c r="E30" s="5" t="inlineStr"/>
      <c r="F30" s="9" t="n">
        <v>989.66</v>
      </c>
      <c r="G30" s="5" t="inlineStr">
        <is>
          <t>PEN 3,350</t>
        </is>
      </c>
      <c r="H30" s="5" t="inlineStr">
        <is>
          <t>CALCULATED</t>
        </is>
      </c>
      <c r="I30" s="11" t="n">
        <v>3350</v>
      </c>
      <c r="J30" s="5" t="inlineStr">
        <is>
          <t>UNKNOWN</t>
        </is>
      </c>
      <c r="K30" s="5" t="inlineStr">
        <is>
          <t>UNKNOWN</t>
        </is>
      </c>
      <c r="L30" s="5" t="inlineStr">
        <is>
          <t>UNKNOWN</t>
        </is>
      </c>
      <c r="M30" s="6" t="n">
        <v>1</v>
      </c>
      <c r="N30" s="12" t="n">
        <v>2</v>
      </c>
      <c r="O30" s="6" t="n">
        <v>50</v>
      </c>
      <c r="P30" s="5" t="inlineStr">
        <is>
          <t>built</t>
        </is>
      </c>
      <c r="Q30" s="5" t="inlineStr">
        <is>
          <t>GOOD</t>
        </is>
      </c>
      <c r="R30" s="7" t="n">
        <v>19.79</v>
      </c>
      <c r="S30" s="5" t="inlineStr">
        <is>
          <t>FAIR_VALUE</t>
        </is>
      </c>
      <c r="T30" s="5" t="inlineStr">
        <is>
          <t>UNKNOWN</t>
        </is>
      </c>
      <c r="U30" s="5" t="inlineStr">
        <is>
          <t>Yes (1)</t>
        </is>
      </c>
      <c r="V30" s="5" t="inlineStr">
        <is>
          <t>UNKNOWN</t>
        </is>
      </c>
      <c r="W30" s="5" t="inlineStr">
        <is>
          <t>UNKNOWN</t>
        </is>
      </c>
      <c r="X30" s="5" t="inlineStr">
        <is>
          <t>UNKNOWN</t>
        </is>
      </c>
      <c r="Y30" s="5" t="inlineStr">
        <is>
          <t>UNKNOWN</t>
        </is>
      </c>
      <c r="Z30" s="5" t="inlineStr">
        <is>
          <t>Yes</t>
        </is>
      </c>
      <c r="AA30" s="5" t="inlineStr">
        <is>
          <t>UNKNOWN</t>
        </is>
      </c>
      <c r="AB30" s="5" t="inlineStr">
        <is>
          <t>UNKNOWN</t>
        </is>
      </c>
      <c r="AC30" s="5" t="inlineStr">
        <is>
          <t>HIGH · conf. high</t>
        </is>
      </c>
      <c r="AD30" s="6" t="n">
        <v>0</v>
      </c>
      <c r="AE30" s="8" t="inlineStr">
        <is>
          <t>7 m from Av. Demo Arterial (DEMO) (major road); nightclub 'Discoteca Demo (DEMO)' 141 m away; 5 bars/pubs within 150 m; listing says it faces an avenue. Quietness estimate: high confidence.</t>
        </is>
      </c>
      <c r="AF30" s="6" t="n">
        <v>7</v>
      </c>
      <c r="AG30" s="6" t="n">
        <v>141</v>
      </c>
      <c r="AH30" s="6" t="n">
        <v>5</v>
      </c>
      <c r="AI30" s="8" t="inlineStr">
        <is>
          <t>bus/Metropolitano stop 45 m</t>
        </is>
      </c>
      <c r="AJ30" s="5" t="inlineStr">
        <is>
          <t>UNKNOWN</t>
        </is>
      </c>
      <c r="AK30" s="5" t="inlineStr">
        <is>
          <t>UNKNOWN</t>
        </is>
      </c>
      <c r="AL30" s="5" t="inlineStr">
        <is>
          <t>UNKNOWN</t>
        </is>
      </c>
      <c r="AM30" s="5" t="inlineStr">
        <is>
          <t>2026-08-08</t>
        </is>
      </c>
      <c r="AN30" s="5" t="inlineStr">
        <is>
          <t>LIKELY_ACTIVE</t>
        </is>
      </c>
      <c r="AO30" s="8" t="inlineStr">
        <is>
          <t>50 m² built area — good for a 1-bedroom; building security/controlled access</t>
        </is>
      </c>
      <c r="AP30" s="8" t="inlineStr">
        <is>
          <t>high estimated noise: 7 m from Av. Demo Arterial (DEMO) (major road)</t>
        </is>
      </c>
      <c r="AQ30" s="8" t="inlineStr">
        <is>
          <t>DIRECT_MAJOR_AVENUE; HIGH_NOISE_RISK; INCOMPLETE_CONTACT; NIGHTLIFE_PROXIMITY; PRICE_CONVERTED_FROM_PEN; UNKNOWN_MAINTENANCE</t>
        </is>
      </c>
      <c r="AR30" s="5" t="inlineStr">
        <is>
          <t>DEMO Agente F</t>
        </is>
      </c>
      <c r="AS30" s="5" t="inlineStr">
        <is>
          <t>UNKNOWN</t>
        </is>
      </c>
      <c r="AT30" s="5" t="inlineStr">
        <is>
          <t>Urbania</t>
        </is>
      </c>
      <c r="AU30" s="6" t="n">
        <v>1</v>
      </c>
      <c r="AV30" s="5" t="inlineStr">
        <is>
          <t>G0033</t>
        </is>
      </c>
      <c r="AW30" s="5" t="inlineStr"/>
      <c r="AX30" s="10" t="inlineStr">
        <is>
          <t>View listing</t>
        </is>
      </c>
      <c r="AY30" s="5" t="inlineStr">
        <is>
          <t>—</t>
        </is>
      </c>
      <c r="AZ30" s="10" t="inlineStr">
        <is>
          <t>Open map</t>
        </is>
      </c>
      <c r="BA30" s="5" t="inlineStr">
        <is>
          <t>LISTING / EXACT</t>
        </is>
      </c>
      <c r="BB30" s="5" t="inlineStr">
        <is>
          <t>PROGRAMMATIC_PASS</t>
        </is>
      </c>
      <c r="BC30" s="5" t="inlineStr"/>
    </row>
  </sheetData>
  <autoFilter ref="A4:BC30"/>
  <conditionalFormatting sqref="A5:BC30">
    <cfRule type="cellIs" priority="1" operator="equal" dxfId="0">
      <formula>"UNKNOWN"</formula>
    </cfRule>
    <cfRule type="expression" priority="8" dxfId="2">
      <formula>MOD(ROW(),2)=0</formula>
    </cfRule>
  </conditionalFormatting>
  <conditionalFormatting sqref="AC5:AC30">
    <cfRule type="expression" priority="2" dxfId="3" stopIfTrue="1">
      <formula>LEFT(AC5,3)="LOW"</formula>
    </cfRule>
    <cfRule type="expression" priority="3" dxfId="4" stopIfTrue="1">
      <formula>LEFT(AC5,6)="MEDIUM"</formula>
    </cfRule>
    <cfRule type="expression" priority="4" dxfId="5" stopIfTrue="1">
      <formula>LEFT(AC5,4)="HIGH"</formula>
    </cfRule>
  </conditionalFormatting>
  <conditionalFormatting sqref="L5:L30">
    <cfRule type="cellIs" priority="5" operator="greaterThan" dxfId="6" stopIfTrue="1">
      <formula>1000</formula>
    </cfRule>
  </conditionalFormatting>
  <conditionalFormatting sqref="F5:F30">
    <cfRule type="cellIs" priority="6" operator="greaterThan" dxfId="6" stopIfTrue="1">
      <formula>1000</formula>
    </cfRule>
  </conditionalFormatting>
  <conditionalFormatting sqref="B5:B30">
    <cfRule type="cellIs" priority="7" operator="greaterThanOrEqual" dxfId="7">
      <formula>75</formula>
    </cfRule>
  </conditionalFormatting>
  <hyperlinks>
    <hyperlink xmlns:r="http://schemas.openxmlformats.org/officeDocument/2006/relationships" ref="AX5" r:id="rId1"/>
    <hyperlink xmlns:r="http://schemas.openxmlformats.org/officeDocument/2006/relationships" ref="AZ5" r:id="rId2"/>
    <hyperlink xmlns:r="http://schemas.openxmlformats.org/officeDocument/2006/relationships" ref="AX6" r:id="rId3"/>
    <hyperlink xmlns:r="http://schemas.openxmlformats.org/officeDocument/2006/relationships" ref="AZ6" r:id="rId4"/>
    <hyperlink xmlns:r="http://schemas.openxmlformats.org/officeDocument/2006/relationships" ref="AX7" r:id="rId5"/>
    <hyperlink xmlns:r="http://schemas.openxmlformats.org/officeDocument/2006/relationships" ref="AZ7" r:id="rId6"/>
    <hyperlink xmlns:r="http://schemas.openxmlformats.org/officeDocument/2006/relationships" ref="AX8" r:id="rId7"/>
    <hyperlink xmlns:r="http://schemas.openxmlformats.org/officeDocument/2006/relationships" ref="AZ8" r:id="rId8"/>
    <hyperlink xmlns:r="http://schemas.openxmlformats.org/officeDocument/2006/relationships" ref="AX9" r:id="rId9"/>
    <hyperlink xmlns:r="http://schemas.openxmlformats.org/officeDocument/2006/relationships" ref="AZ9" r:id="rId10"/>
    <hyperlink xmlns:r="http://schemas.openxmlformats.org/officeDocument/2006/relationships" ref="AX10" r:id="rId11"/>
    <hyperlink xmlns:r="http://schemas.openxmlformats.org/officeDocument/2006/relationships" ref="AZ10" r:id="rId12"/>
    <hyperlink xmlns:r="http://schemas.openxmlformats.org/officeDocument/2006/relationships" ref="AX11" r:id="rId13"/>
    <hyperlink xmlns:r="http://schemas.openxmlformats.org/officeDocument/2006/relationships" ref="AZ11" r:id="rId14"/>
    <hyperlink xmlns:r="http://schemas.openxmlformats.org/officeDocument/2006/relationships" ref="AX12" r:id="rId15"/>
    <hyperlink xmlns:r="http://schemas.openxmlformats.org/officeDocument/2006/relationships" ref="AZ12" r:id="rId16"/>
    <hyperlink xmlns:r="http://schemas.openxmlformats.org/officeDocument/2006/relationships" ref="AX13" r:id="rId17"/>
    <hyperlink xmlns:r="http://schemas.openxmlformats.org/officeDocument/2006/relationships" ref="AZ13" r:id="rId18"/>
    <hyperlink xmlns:r="http://schemas.openxmlformats.org/officeDocument/2006/relationships" ref="AX14" r:id="rId19"/>
    <hyperlink xmlns:r="http://schemas.openxmlformats.org/officeDocument/2006/relationships" ref="AZ14" r:id="rId20"/>
    <hyperlink xmlns:r="http://schemas.openxmlformats.org/officeDocument/2006/relationships" ref="AX15" r:id="rId21"/>
    <hyperlink xmlns:r="http://schemas.openxmlformats.org/officeDocument/2006/relationships" ref="AZ15" r:id="rId22"/>
    <hyperlink xmlns:r="http://schemas.openxmlformats.org/officeDocument/2006/relationships" ref="AX16" r:id="rId23"/>
    <hyperlink xmlns:r="http://schemas.openxmlformats.org/officeDocument/2006/relationships" ref="AZ16" r:id="rId24"/>
    <hyperlink xmlns:r="http://schemas.openxmlformats.org/officeDocument/2006/relationships" ref="AX17" r:id="rId25"/>
    <hyperlink xmlns:r="http://schemas.openxmlformats.org/officeDocument/2006/relationships" ref="AZ17" r:id="rId26"/>
    <hyperlink xmlns:r="http://schemas.openxmlformats.org/officeDocument/2006/relationships" ref="AX18" r:id="rId27"/>
    <hyperlink xmlns:r="http://schemas.openxmlformats.org/officeDocument/2006/relationships" ref="AZ18" r:id="rId28"/>
    <hyperlink xmlns:r="http://schemas.openxmlformats.org/officeDocument/2006/relationships" ref="AX19" r:id="rId29"/>
    <hyperlink xmlns:r="http://schemas.openxmlformats.org/officeDocument/2006/relationships" ref="AZ19" r:id="rId30"/>
    <hyperlink xmlns:r="http://schemas.openxmlformats.org/officeDocument/2006/relationships" ref="AX20" r:id="rId31"/>
    <hyperlink xmlns:r="http://schemas.openxmlformats.org/officeDocument/2006/relationships" ref="AZ20" r:id="rId32"/>
    <hyperlink xmlns:r="http://schemas.openxmlformats.org/officeDocument/2006/relationships" ref="AX21" r:id="rId33"/>
    <hyperlink xmlns:r="http://schemas.openxmlformats.org/officeDocument/2006/relationships" ref="AZ21" r:id="rId34"/>
    <hyperlink xmlns:r="http://schemas.openxmlformats.org/officeDocument/2006/relationships" ref="AX22" r:id="rId35"/>
    <hyperlink xmlns:r="http://schemas.openxmlformats.org/officeDocument/2006/relationships" ref="AZ22" r:id="rId36"/>
    <hyperlink xmlns:r="http://schemas.openxmlformats.org/officeDocument/2006/relationships" ref="AX23" r:id="rId37"/>
    <hyperlink xmlns:r="http://schemas.openxmlformats.org/officeDocument/2006/relationships" ref="AZ23" r:id="rId38"/>
    <hyperlink xmlns:r="http://schemas.openxmlformats.org/officeDocument/2006/relationships" ref="AX24" r:id="rId39"/>
    <hyperlink xmlns:r="http://schemas.openxmlformats.org/officeDocument/2006/relationships" ref="AZ24" r:id="rId40"/>
    <hyperlink xmlns:r="http://schemas.openxmlformats.org/officeDocument/2006/relationships" ref="AX25" r:id="rId41"/>
    <hyperlink xmlns:r="http://schemas.openxmlformats.org/officeDocument/2006/relationships" ref="AZ25" r:id="rId42"/>
    <hyperlink xmlns:r="http://schemas.openxmlformats.org/officeDocument/2006/relationships" ref="AX26" r:id="rId43"/>
    <hyperlink xmlns:r="http://schemas.openxmlformats.org/officeDocument/2006/relationships" ref="AZ26" r:id="rId44"/>
    <hyperlink xmlns:r="http://schemas.openxmlformats.org/officeDocument/2006/relationships" ref="AX27" r:id="rId45"/>
    <hyperlink xmlns:r="http://schemas.openxmlformats.org/officeDocument/2006/relationships" ref="AZ27" r:id="rId46"/>
    <hyperlink xmlns:r="http://schemas.openxmlformats.org/officeDocument/2006/relationships" ref="AX28" r:id="rId47"/>
    <hyperlink xmlns:r="http://schemas.openxmlformats.org/officeDocument/2006/relationships" ref="AZ28" r:id="rId48"/>
    <hyperlink xmlns:r="http://schemas.openxmlformats.org/officeDocument/2006/relationships" ref="AX29" r:id="rId49"/>
    <hyperlink xmlns:r="http://schemas.openxmlformats.org/officeDocument/2006/relationships" ref="AZ29" r:id="rId50"/>
    <hyperlink xmlns:r="http://schemas.openxmlformats.org/officeDocument/2006/relationships" ref="AX30" r:id="rId51"/>
    <hyperlink xmlns:r="http://schemas.openxmlformats.org/officeDocument/2006/relationships" ref="AZ30" r:id="rId5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C13"/>
  <sheetViews>
    <sheetView zoomScale="10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34" customWidth="1" min="3" max="3"/>
    <col width="11" customWidth="1" min="4" max="4"/>
    <col width="30" customWidth="1" min="5" max="5"/>
    <col width="11" customWidth="1" min="6" max="6"/>
    <col width="13" customWidth="1" min="7" max="7"/>
    <col width="11" customWidth="1" min="8" max="8"/>
    <col width="10" customWidth="1" min="9" max="9"/>
    <col width="16" customWidth="1" min="10" max="10"/>
    <col width="11" customWidth="1" min="11" max="11"/>
    <col width="11" customWidth="1" min="12" max="12"/>
    <col width="8" customWidth="1" min="13" max="13"/>
    <col width="8" customWidth="1" min="14" max="14"/>
    <col width="8" customWidth="1" min="15" max="15"/>
    <col width="8" customWidth="1" min="16" max="16"/>
    <col width="12" customWidth="1" min="17" max="17"/>
    <col width="8" customWidth="1" min="18" max="18"/>
    <col width="18" customWidth="1" min="19" max="19"/>
    <col width="10" customWidth="1" min="20" max="20"/>
    <col width="9" customWidth="1" min="21" max="21"/>
    <col width="7" customWidth="1" min="22" max="22"/>
    <col width="9" customWidth="1" min="23" max="23"/>
    <col width="8" customWidth="1" min="24" max="24"/>
    <col width="8" customWidth="1" min="25" max="25"/>
    <col width="8" customWidth="1" min="26" max="26"/>
    <col width="7" customWidth="1" min="27" max="27"/>
    <col width="8" customWidth="1" min="28" max="28"/>
    <col width="14" customWidth="1" min="29" max="29"/>
    <col width="9" customWidth="1" min="30" max="30"/>
    <col width="50" customWidth="1" min="31" max="31"/>
    <col width="10" customWidth="1" min="32" max="32"/>
    <col width="10" customWidth="1" min="33" max="33"/>
    <col width="8" customWidth="1" min="34" max="34"/>
    <col width="30" customWidth="1" min="35" max="35"/>
    <col width="12" customWidth="1" min="36" max="36"/>
    <col width="14" customWidth="1" min="37" max="37"/>
    <col width="14" customWidth="1" min="38" max="38"/>
    <col width="11" customWidth="1" min="39" max="39"/>
    <col width="14" customWidth="1" min="40" max="40"/>
    <col width="40" customWidth="1" min="41" max="41"/>
    <col width="36" customWidth="1" min="42" max="42"/>
    <col width="40" customWidth="1" min="43" max="43"/>
    <col width="20" customWidth="1" min="44" max="44"/>
    <col width="14" customWidth="1" min="45" max="45"/>
    <col width="14" customWidth="1" min="46" max="46"/>
    <col width="7" customWidth="1" min="47" max="47"/>
    <col width="9" customWidth="1" min="48" max="48"/>
    <col width="24" customWidth="1" min="49" max="49"/>
    <col width="12" customWidth="1" min="50" max="50"/>
    <col width="14" customWidth="1" min="51" max="51"/>
    <col width="10" customWidth="1" min="52" max="52"/>
    <col width="16" customWidth="1" min="53" max="53"/>
    <col width="18" customWidth="1" min="54" max="54"/>
    <col width="30" customWidth="1" min="55" max="55"/>
  </cols>
  <sheetData>
    <row r="1">
      <c r="A1" s="1" t="inlineStr">
        <is>
          <t>Stretch / negotiable (rent USD 1,001–1,100) — kept separate</t>
        </is>
      </c>
    </row>
    <row r="2">
      <c r="A2" s="2" t="inlineStr">
        <is>
          <t>Generated 2026-09-24T17:45:06-05:00 · FX 1 USD = S/ 3.385 (fallback)</t>
        </is>
      </c>
    </row>
    <row r="3">
      <c r="A3" s="3" t="inlineStr">
        <is>
          <t>SYNTHETIC DEMO DATA — FORMAT PREVIEW ONLY — THESE ARE NOT REAL LISTINGS</t>
        </is>
      </c>
    </row>
    <row r="4" ht="30" customHeight="1">
      <c r="A4" s="4" t="inlineStr">
        <is>
          <t>Rank</t>
        </is>
      </c>
      <c r="B4" s="4" t="inlineStr">
        <is>
          <t>Fit Score</t>
        </is>
      </c>
      <c r="C4" s="4" t="inlineStr">
        <is>
          <t>Property</t>
        </is>
      </c>
      <c r="D4" s="4" t="inlineStr">
        <is>
          <t>Category</t>
        </is>
      </c>
      <c r="E4" s="4" t="inlineStr">
        <is>
          <t>Why in this sheet</t>
        </is>
      </c>
      <c r="F4" s="4" t="inlineStr">
        <is>
          <t>Monthly Rent USD</t>
        </is>
      </c>
      <c r="G4" s="4" t="inlineStr">
        <is>
          <t>Rent as published</t>
        </is>
      </c>
      <c r="H4" s="4" t="inlineStr">
        <is>
          <t>Rent USD basis</t>
        </is>
      </c>
      <c r="I4" s="4" t="inlineStr">
        <is>
          <t>Rent PEN</t>
        </is>
      </c>
      <c r="J4" s="4" t="inlineStr">
        <is>
          <t>Maintenance</t>
        </is>
      </c>
      <c r="K4" s="4" t="inlineStr">
        <is>
          <t>Maintenance basis</t>
        </is>
      </c>
      <c r="L4" s="4" t="inlineStr">
        <is>
          <t>Estimated Total USD</t>
        </is>
      </c>
      <c r="M4" s="4" t="inlineStr">
        <is>
          <t>Bedrooms</t>
        </is>
      </c>
      <c r="N4" s="4" t="inlineStr">
        <is>
          <t>Bathrooms</t>
        </is>
      </c>
      <c r="O4" s="4" t="inlineStr">
        <is>
          <t>Area m²</t>
        </is>
      </c>
      <c r="P4" s="4" t="inlineStr">
        <is>
          <t>Area basis</t>
        </is>
      </c>
      <c r="Q4" s="4" t="inlineStr">
        <is>
          <t>Space band</t>
        </is>
      </c>
      <c r="R4" s="4" t="inlineStr">
        <is>
          <t>USD/m²</t>
        </is>
      </c>
      <c r="S4" s="4" t="inlineStr">
        <is>
          <t>Value band</t>
        </is>
      </c>
      <c r="T4" s="4" t="inlineStr">
        <is>
          <t>Furnished</t>
        </is>
      </c>
      <c r="U4" s="4" t="inlineStr">
        <is>
          <t>Parking</t>
        </is>
      </c>
      <c r="V4" s="4" t="inlineStr">
        <is>
          <t>Floor</t>
        </is>
      </c>
      <c r="W4" s="4" t="inlineStr">
        <is>
          <t>Balcony/Terrace</t>
        </is>
      </c>
      <c r="X4" s="4" t="inlineStr">
        <is>
          <t>Laundry</t>
        </is>
      </c>
      <c r="Y4" s="4" t="inlineStr">
        <is>
          <t>Elevator</t>
        </is>
      </c>
      <c r="Z4" s="4" t="inlineStr">
        <is>
          <t>Security</t>
        </is>
      </c>
      <c r="AA4" s="4" t="inlineStr">
        <is>
          <t>Pets</t>
        </is>
      </c>
      <c r="AB4" s="4" t="inlineStr">
        <is>
          <t>Interior view</t>
        </is>
      </c>
      <c r="AC4" s="4" t="inlineStr">
        <is>
          <t>Noise Risk</t>
        </is>
      </c>
      <c r="AD4" s="4" t="inlineStr">
        <is>
          <t>Quietness Score</t>
        </is>
      </c>
      <c r="AE4" s="4" t="inlineStr">
        <is>
          <t>Quietness evidence</t>
        </is>
      </c>
      <c r="AF4" s="4" t="inlineStr">
        <is>
          <t>Nearest major road (m)</t>
        </is>
      </c>
      <c r="AG4" s="4" t="inlineStr">
        <is>
          <t>Nearest nightclub (m)</t>
        </is>
      </c>
      <c r="AH4" s="4" t="inlineStr">
        <is>
          <t>Bars ≤150 m</t>
        </is>
      </c>
      <c r="AI4" s="4" t="inlineStr">
        <is>
          <t>Daily needs nearby</t>
        </is>
      </c>
      <c r="AJ4" s="4" t="inlineStr">
        <is>
          <t>Contract</t>
        </is>
      </c>
      <c r="AK4" s="4" t="inlineStr">
        <is>
          <t>Deposit</t>
        </is>
      </c>
      <c r="AL4" s="4" t="inlineStr">
        <is>
          <t>Utilities included</t>
        </is>
      </c>
      <c r="AM4" s="4" t="inlineStr">
        <is>
          <t>Published</t>
        </is>
      </c>
      <c r="AN4" s="4" t="inlineStr">
        <is>
          <t>Active status</t>
        </is>
      </c>
      <c r="AO4" s="4" t="inlineStr">
        <is>
          <t>Main Advantage</t>
        </is>
      </c>
      <c r="AP4" s="4" t="inlineStr">
        <is>
          <t>Main Drawback</t>
        </is>
      </c>
      <c r="AQ4" s="4" t="inlineStr">
        <is>
          <t>Red flags</t>
        </is>
      </c>
      <c r="AR4" s="4" t="inlineStr">
        <is>
          <t>Agency / agent</t>
        </is>
      </c>
      <c r="AS4" s="4" t="inlineStr">
        <is>
          <t>Phone</t>
        </is>
      </c>
      <c r="AT4" s="4" t="inlineStr">
        <is>
          <t>Source</t>
        </is>
      </c>
      <c r="AU4" s="4" t="inlineStr">
        <is>
          <t># Sources</t>
        </is>
      </c>
      <c r="AV4" s="4" t="inlineStr">
        <is>
          <t>Duplicate group</t>
        </is>
      </c>
      <c r="AW4" s="4" t="inlineStr">
        <is>
          <t>Duplicate conflicts</t>
        </is>
      </c>
      <c r="AX4" s="4" t="inlineStr">
        <is>
          <t>View Listing</t>
        </is>
      </c>
      <c r="AY4" s="4" t="inlineStr">
        <is>
          <t>WhatsApp</t>
        </is>
      </c>
      <c r="AZ4" s="4" t="inlineStr">
        <is>
          <t>Map</t>
        </is>
      </c>
      <c r="BA4" s="4" t="inlineStr">
        <is>
          <t>Location source</t>
        </is>
      </c>
      <c r="BB4" s="4" t="inlineStr">
        <is>
          <t>QA Status</t>
        </is>
      </c>
      <c r="BC4" s="4" t="inlineStr">
        <is>
          <t>QA notes</t>
        </is>
      </c>
    </row>
    <row r="5">
      <c r="A5" s="6" t="n">
        <v>1</v>
      </c>
      <c r="B5" s="7" t="n">
        <v>65.8</v>
      </c>
      <c r="C5" s="8" t="inlineStr">
        <is>
          <t>2BR · 70 m² — Av. Ejemplo 225 (DEMO)</t>
        </is>
      </c>
      <c r="D5" s="5" t="inlineStr">
        <is>
          <t>STRETCH</t>
        </is>
      </c>
      <c r="E5" s="8" t="inlineStr">
        <is>
          <t>Rent USD 1,064: above the USD 1,000 target; only worth it if negotiable</t>
        </is>
      </c>
      <c r="F5" s="9" t="n">
        <v>1063.52</v>
      </c>
      <c r="G5" s="5" t="inlineStr">
        <is>
          <t>PEN 3,600</t>
        </is>
      </c>
      <c r="H5" s="5" t="inlineStr">
        <is>
          <t>CALCULATED</t>
        </is>
      </c>
      <c r="I5" s="11" t="n">
        <v>3600</v>
      </c>
      <c r="J5" s="5" t="inlineStr">
        <is>
          <t>S/ 500 (≈ USD 148)</t>
        </is>
      </c>
      <c r="K5" s="5" t="inlineStr">
        <is>
          <t>PUBLISHED</t>
        </is>
      </c>
      <c r="L5" s="9" t="n">
        <v>1211.23</v>
      </c>
      <c r="M5" s="6" t="n">
        <v>2</v>
      </c>
      <c r="N5" s="12" t="n">
        <v>2</v>
      </c>
      <c r="O5" s="6" t="n">
        <v>70</v>
      </c>
      <c r="P5" s="5" t="inlineStr">
        <is>
          <t>built</t>
        </is>
      </c>
      <c r="Q5" s="5" t="inlineStr">
        <is>
          <t>GOOD</t>
        </is>
      </c>
      <c r="R5" s="7" t="n">
        <v>15.19</v>
      </c>
      <c r="S5" s="8" t="inlineStr">
        <is>
          <t>EXPENSIVE_RELATIVE_TO_SAMPLE</t>
        </is>
      </c>
      <c r="T5" s="5" t="inlineStr">
        <is>
          <t>No</t>
        </is>
      </c>
      <c r="U5" s="5" t="inlineStr">
        <is>
          <t>No</t>
        </is>
      </c>
      <c r="V5" s="5" t="inlineStr">
        <is>
          <t>UNKNOWN</t>
        </is>
      </c>
      <c r="W5" s="5" t="inlineStr">
        <is>
          <t>UNKNOWN</t>
        </is>
      </c>
      <c r="X5" s="5" t="inlineStr">
        <is>
          <t>Yes</t>
        </is>
      </c>
      <c r="Y5" s="5" t="inlineStr">
        <is>
          <t>Yes</t>
        </is>
      </c>
      <c r="Z5" s="5" t="inlineStr">
        <is>
          <t>Yes</t>
        </is>
      </c>
      <c r="AA5" s="5" t="inlineStr">
        <is>
          <t>UNKNOWN</t>
        </is>
      </c>
      <c r="AB5" s="5" t="inlineStr">
        <is>
          <t>Yes</t>
        </is>
      </c>
      <c r="AC5" s="5" t="inlineStr">
        <is>
          <t>LOW · conf. high</t>
        </is>
      </c>
      <c r="AD5" s="6" t="n">
        <v>97</v>
      </c>
      <c r="AE5" s="8" t="inlineStr">
        <is>
          <t>Nearest major road (Av. Demo Arterial (DEMO)) 1255 m away; no nightclub mapped within 500 m; listing says interior-facing / contrafrente; acoustic / double-glazed windows mentioned; seller describes the street as quiet (unverified claim). Quietness estimate: high confidence.</t>
        </is>
      </c>
      <c r="AF5" s="6" t="n">
        <v>1255</v>
      </c>
      <c r="AG5" s="6" t="n">
        <v>1135</v>
      </c>
      <c r="AH5" s="6" t="n">
        <v>0</v>
      </c>
      <c r="AI5" s="5" t="inlineStr">
        <is>
          <t>supermarket 462 m</t>
        </is>
      </c>
      <c r="AJ5" s="5" t="inlineStr">
        <is>
          <t>12 months min.</t>
        </is>
      </c>
      <c r="AK5" s="8" t="inlineStr">
        <is>
          <t>2 months deposit; 1 in advance</t>
        </is>
      </c>
      <c r="AL5" s="5" t="inlineStr">
        <is>
          <t>UNKNOWN</t>
        </is>
      </c>
      <c r="AM5" s="5" t="inlineStr">
        <is>
          <t>2026-09-07</t>
        </is>
      </c>
      <c r="AN5" s="5" t="inlineStr">
        <is>
          <t>LIKELY_ACTIVE</t>
        </is>
      </c>
      <c r="AO5" s="8" t="inlineStr">
        <is>
          <t>70 m² built area — good for a 2-bedroom; low estimated noise (97/100); interior-facing</t>
        </is>
      </c>
      <c r="AP5" s="8" t="inlineStr">
        <is>
          <t>rent + maintenance ≈ USD 1,211 (USD 1,064 rent + S/ 500 maintenance) exceeds USD 1,000</t>
        </is>
      </c>
      <c r="AQ5" s="8" t="inlineStr">
        <is>
          <t>INCOMPLETE_CONTACT; NO_FURNITURE; PRICE_CONVERTED_FROM_PEN; PRICE_OVER_BUDGET; TOTAL_COST_OVER_BUDGET</t>
        </is>
      </c>
      <c r="AR5" s="5" t="inlineStr">
        <is>
          <t>DEMO Agente G</t>
        </is>
      </c>
      <c r="AS5" s="5" t="inlineStr">
        <is>
          <t>UNKNOWN</t>
        </is>
      </c>
      <c r="AT5" s="5" t="inlineStr">
        <is>
          <t>Adondevivir</t>
        </is>
      </c>
      <c r="AU5" s="6" t="n">
        <v>1</v>
      </c>
      <c r="AV5" s="5" t="inlineStr">
        <is>
          <t>G0026</t>
        </is>
      </c>
      <c r="AW5" s="5" t="inlineStr"/>
      <c r="AX5" s="10" t="inlineStr">
        <is>
          <t>View listing</t>
        </is>
      </c>
      <c r="AY5" s="5" t="inlineStr">
        <is>
          <t>—</t>
        </is>
      </c>
      <c r="AZ5" s="10" t="inlineStr">
        <is>
          <t>Open map</t>
        </is>
      </c>
      <c r="BA5" s="5" t="inlineStr">
        <is>
          <t>LISTING / EXACT</t>
        </is>
      </c>
      <c r="BB5" s="5" t="inlineStr">
        <is>
          <t>PROGRAMMATIC_PASS</t>
        </is>
      </c>
      <c r="BC5" s="5" t="inlineStr"/>
    </row>
    <row r="6">
      <c r="A6" s="6" t="n">
        <v>2</v>
      </c>
      <c r="B6" s="7" t="n">
        <v>64.90000000000001</v>
      </c>
      <c r="C6" s="8" t="inlineStr">
        <is>
          <t>2BR · 96 m² — Calle Amplia 904 (DEMO)</t>
        </is>
      </c>
      <c r="D6" s="5" t="inlineStr">
        <is>
          <t>STRETCH</t>
        </is>
      </c>
      <c r="E6" s="8" t="inlineStr">
        <is>
          <t>Rent USD 1,060: above the USD 1,000 target; only worth it if negotiable</t>
        </is>
      </c>
      <c r="F6" s="9" t="n">
        <v>1060</v>
      </c>
      <c r="G6" s="5" t="inlineStr">
        <is>
          <t>USD 1,060</t>
        </is>
      </c>
      <c r="H6" s="5" t="inlineStr">
        <is>
          <t>PUBLISHED</t>
        </is>
      </c>
      <c r="I6" s="11" t="n">
        <v>3588.1</v>
      </c>
      <c r="J6" s="5" t="inlineStr">
        <is>
          <t>S/ 250 (≈ USD 74)</t>
        </is>
      </c>
      <c r="K6" s="5" t="inlineStr">
        <is>
          <t>PUBLISHED</t>
        </is>
      </c>
      <c r="L6" s="9" t="n">
        <v>1133.86</v>
      </c>
      <c r="M6" s="6" t="n">
        <v>2</v>
      </c>
      <c r="N6" s="12" t="n">
        <v>1.5</v>
      </c>
      <c r="O6" s="6" t="n">
        <v>96</v>
      </c>
      <c r="P6" s="5" t="inlineStr">
        <is>
          <t>built</t>
        </is>
      </c>
      <c r="Q6" s="5" t="inlineStr">
        <is>
          <t>VERY_SPACIOUS</t>
        </is>
      </c>
      <c r="R6" s="7" t="n">
        <v>11.04</v>
      </c>
      <c r="S6" s="5" t="inlineStr">
        <is>
          <t>GOOD_VALUE</t>
        </is>
      </c>
      <c r="T6" s="5" t="inlineStr">
        <is>
          <t>Yes</t>
        </is>
      </c>
      <c r="U6" s="5" t="inlineStr">
        <is>
          <t>UNKNOWN</t>
        </is>
      </c>
      <c r="V6" s="5" t="inlineStr">
        <is>
          <t>UNKNOWN</t>
        </is>
      </c>
      <c r="W6" s="5" t="inlineStr">
        <is>
          <t>UNKNOWN</t>
        </is>
      </c>
      <c r="X6" s="5" t="inlineStr">
        <is>
          <t>Yes</t>
        </is>
      </c>
      <c r="Y6" s="5" t="inlineStr">
        <is>
          <t>Yes</t>
        </is>
      </c>
      <c r="Z6" s="5" t="inlineStr">
        <is>
          <t>Yes</t>
        </is>
      </c>
      <c r="AA6" s="5" t="inlineStr">
        <is>
          <t>UNKNOWN</t>
        </is>
      </c>
      <c r="AB6" s="5" t="inlineStr">
        <is>
          <t>Yes</t>
        </is>
      </c>
      <c r="AC6" s="5" t="inlineStr">
        <is>
          <t>LOW · conf. high</t>
        </is>
      </c>
      <c r="AD6" s="6" t="n">
        <v>82</v>
      </c>
      <c r="AE6" s="8" t="inlineStr">
        <is>
          <t>Nearest major road (Av. Demo Arterial (DEMO)) 1088 m away; no nightclub mapped within 500 m; listing says interior-facing / contrafrente. Quietness estimate: high confidence.</t>
        </is>
      </c>
      <c r="AF6" s="6" t="n">
        <v>1088</v>
      </c>
      <c r="AG6" s="6" t="n">
        <v>1446</v>
      </c>
      <c r="AH6" s="6" t="n">
        <v>0</v>
      </c>
      <c r="AI6" s="5" t="inlineStr">
        <is>
          <t>UNKNOWN</t>
        </is>
      </c>
      <c r="AJ6" s="5" t="inlineStr">
        <is>
          <t>UNKNOWN</t>
        </is>
      </c>
      <c r="AK6" s="5" t="inlineStr">
        <is>
          <t>UNKNOWN</t>
        </is>
      </c>
      <c r="AL6" s="5" t="inlineStr">
        <is>
          <t>UNKNOWN</t>
        </is>
      </c>
      <c r="AM6" s="5" t="inlineStr">
        <is>
          <t>2026-09-08</t>
        </is>
      </c>
      <c r="AN6" s="5" t="inlineStr">
        <is>
          <t>LIKELY_ACTIVE</t>
        </is>
      </c>
      <c r="AO6" s="8" t="inlineStr">
        <is>
          <t>96 m² built area — very spacious for a 2-bedroom; low estimated noise (82/100); interior-facing</t>
        </is>
      </c>
      <c r="AP6" s="8" t="inlineStr">
        <is>
          <t>rent + maintenance ≈ USD 1,134 (USD 1,060 rent + S/ 250 maintenance) exceeds USD 1,000</t>
        </is>
      </c>
      <c r="AQ6" s="8" t="inlineStr">
        <is>
          <t>PRICE_OVER_BUDGET; TOTAL_COST_OVER_BUDGET</t>
        </is>
      </c>
      <c r="AR6" s="8" t="inlineStr">
        <is>
          <t>DEMO Inmobiliaria E</t>
        </is>
      </c>
      <c r="AS6" s="5" t="inlineStr">
        <is>
          <t>+5110009004</t>
        </is>
      </c>
      <c r="AT6" s="5" t="inlineStr">
        <is>
          <t>Adondevivir</t>
        </is>
      </c>
      <c r="AU6" s="6" t="n">
        <v>1</v>
      </c>
      <c r="AV6" s="5" t="inlineStr">
        <is>
          <t>G0038</t>
        </is>
      </c>
      <c r="AW6" s="5" t="inlineStr"/>
      <c r="AX6" s="10" t="inlineStr">
        <is>
          <t>View listing</t>
        </is>
      </c>
      <c r="AY6" s="5" t="inlineStr">
        <is>
          <t>—</t>
        </is>
      </c>
      <c r="AZ6" s="10" t="inlineStr">
        <is>
          <t>Open map</t>
        </is>
      </c>
      <c r="BA6" s="5" t="inlineStr">
        <is>
          <t>LISTING / EXACT</t>
        </is>
      </c>
      <c r="BB6" s="5" t="inlineStr">
        <is>
          <t>PROGRAMMATIC_PASS</t>
        </is>
      </c>
      <c r="BC6" s="5" t="inlineStr"/>
    </row>
    <row r="7">
      <c r="A7" s="6" t="n">
        <v>3</v>
      </c>
      <c r="B7" s="7" t="n">
        <v>64</v>
      </c>
      <c r="C7" s="8" t="inlineStr">
        <is>
          <t>2BR · 72 m² — Av. Ejemplo 226 (DEMO)</t>
        </is>
      </c>
      <c r="D7" s="5" t="inlineStr">
        <is>
          <t>STRETCH</t>
        </is>
      </c>
      <c r="E7" s="8" t="inlineStr">
        <is>
          <t>Rent USD 1,064: above the USD 1,000 target; only worth it if negotiable</t>
        </is>
      </c>
      <c r="F7" s="9" t="n">
        <v>1063.52</v>
      </c>
      <c r="G7" s="5" t="inlineStr">
        <is>
          <t>PEN 3,600</t>
        </is>
      </c>
      <c r="H7" s="5" t="inlineStr">
        <is>
          <t>CALCULATED</t>
        </is>
      </c>
      <c r="I7" s="11" t="n">
        <v>3600</v>
      </c>
      <c r="J7" s="5" t="inlineStr">
        <is>
          <t>S/ 250 (≈ USD 74)</t>
        </is>
      </c>
      <c r="K7" s="5" t="inlineStr">
        <is>
          <t>PUBLISHED</t>
        </is>
      </c>
      <c r="L7" s="9" t="n">
        <v>1137.38</v>
      </c>
      <c r="M7" s="6" t="n">
        <v>2</v>
      </c>
      <c r="N7" s="12" t="n">
        <v>2</v>
      </c>
      <c r="O7" s="6" t="n">
        <v>72</v>
      </c>
      <c r="P7" s="5" t="inlineStr">
        <is>
          <t>built</t>
        </is>
      </c>
      <c r="Q7" s="5" t="inlineStr">
        <is>
          <t>GOOD</t>
        </is>
      </c>
      <c r="R7" s="7" t="n">
        <v>14.77</v>
      </c>
      <c r="S7" s="5" t="inlineStr">
        <is>
          <t>FAIR_VALUE</t>
        </is>
      </c>
      <c r="T7" s="5" t="inlineStr">
        <is>
          <t>Yes</t>
        </is>
      </c>
      <c r="U7" s="5" t="inlineStr">
        <is>
          <t>No</t>
        </is>
      </c>
      <c r="V7" s="5" t="inlineStr">
        <is>
          <t>UNKNOWN</t>
        </is>
      </c>
      <c r="W7" s="5" t="inlineStr">
        <is>
          <t>Yes</t>
        </is>
      </c>
      <c r="X7" s="5" t="inlineStr">
        <is>
          <t>UNKNOWN</t>
        </is>
      </c>
      <c r="Y7" s="5" t="inlineStr">
        <is>
          <t>UNKNOWN</t>
        </is>
      </c>
      <c r="Z7" s="5" t="inlineStr">
        <is>
          <t>Yes</t>
        </is>
      </c>
      <c r="AA7" s="5" t="inlineStr">
        <is>
          <t>Yes</t>
        </is>
      </c>
      <c r="AB7" s="5" t="inlineStr">
        <is>
          <t>UNKNOWN</t>
        </is>
      </c>
      <c r="AC7" s="8" t="inlineStr">
        <is>
          <t>MEDIUM · conf. high</t>
        </is>
      </c>
      <c r="AD7" s="6" t="n">
        <v>66</v>
      </c>
      <c r="AE7" s="8" t="inlineStr">
        <is>
          <t>201 m from Av. Demo Arterial (DEMO); no nightclub mapped within 500 m. Quietness estimate: high confidence.</t>
        </is>
      </c>
      <c r="AF7" s="6" t="n">
        <v>201</v>
      </c>
      <c r="AG7" s="6" t="n">
        <v>1152</v>
      </c>
      <c r="AH7" s="6" t="n">
        <v>0</v>
      </c>
      <c r="AI7" s="8" t="inlineStr">
        <is>
          <t>supermarket 367 m, pharmacy 336 m, bus/Metropolitano stop 293 m</t>
        </is>
      </c>
      <c r="AJ7" s="5" t="inlineStr">
        <is>
          <t>12 months min.</t>
        </is>
      </c>
      <c r="AK7" s="5" t="inlineStr">
        <is>
          <t>2 months deposit</t>
        </is>
      </c>
      <c r="AL7" s="5" t="inlineStr">
        <is>
          <t>UNKNOWN</t>
        </is>
      </c>
      <c r="AM7" s="5" t="inlineStr">
        <is>
          <t>2026-09-23</t>
        </is>
      </c>
      <c r="AN7" s="5" t="inlineStr">
        <is>
          <t>LIKELY_ACTIVE</t>
        </is>
      </c>
      <c r="AO7" s="8" t="inlineStr">
        <is>
          <t>72 m² built area — good for a 2-bedroom; furnished; building security/controlled access</t>
        </is>
      </c>
      <c r="AP7" s="8" t="inlineStr">
        <is>
          <t>rent + maintenance ≈ USD 1,137 (USD 1,064 rent + S/ 250 maintenance) exceeds USD 1,000</t>
        </is>
      </c>
      <c r="AQ7" s="8" t="inlineStr">
        <is>
          <t>INCOMPLETE_CONTACT; PRICE_CONVERTED_FROM_PEN; PRICE_OVER_BUDGET; TOTAL_COST_OVER_BUDGET</t>
        </is>
      </c>
      <c r="AR7" s="5" t="inlineStr">
        <is>
          <t>DEMO Agente H</t>
        </is>
      </c>
      <c r="AS7" s="5" t="inlineStr">
        <is>
          <t>UNKNOWN</t>
        </is>
      </c>
      <c r="AT7" s="5" t="inlineStr">
        <is>
          <t>Urbania</t>
        </is>
      </c>
      <c r="AU7" s="6" t="n">
        <v>1</v>
      </c>
      <c r="AV7" s="5" t="inlineStr">
        <is>
          <t>G0027</t>
        </is>
      </c>
      <c r="AW7" s="5" t="inlineStr"/>
      <c r="AX7" s="10" t="inlineStr">
        <is>
          <t>View listing</t>
        </is>
      </c>
      <c r="AY7" s="5" t="inlineStr">
        <is>
          <t>—</t>
        </is>
      </c>
      <c r="AZ7" s="10" t="inlineStr">
        <is>
          <t>Open map</t>
        </is>
      </c>
      <c r="BA7" s="5" t="inlineStr">
        <is>
          <t>LISTING / EXACT</t>
        </is>
      </c>
      <c r="BB7" s="5" t="inlineStr">
        <is>
          <t>PROGRAMMATIC_PASS</t>
        </is>
      </c>
      <c r="BC7" s="5" t="inlineStr"/>
    </row>
    <row r="8">
      <c r="A8" s="6" t="n">
        <v>4</v>
      </c>
      <c r="B8" s="7" t="n">
        <v>55.6</v>
      </c>
      <c r="C8" s="8" t="inlineStr">
        <is>
          <t>1BR · 42 m² — Calle Ejemplo 124 (DEMO)</t>
        </is>
      </c>
      <c r="D8" s="5" t="inlineStr">
        <is>
          <t>STRETCH</t>
        </is>
      </c>
      <c r="E8" s="8" t="inlineStr">
        <is>
          <t>Rent USD 1,040: above the USD 1,000 target; only worth it if negotiable</t>
        </is>
      </c>
      <c r="F8" s="9" t="n">
        <v>1040</v>
      </c>
      <c r="G8" s="5" t="inlineStr">
        <is>
          <t>USD 1,040</t>
        </is>
      </c>
      <c r="H8" s="5" t="inlineStr">
        <is>
          <t>PUBLISHED</t>
        </is>
      </c>
      <c r="I8" s="11" t="n">
        <v>3520.4</v>
      </c>
      <c r="J8" s="5" t="inlineStr">
        <is>
          <t>S/ 350 (≈ USD 103)</t>
        </is>
      </c>
      <c r="K8" s="5" t="inlineStr">
        <is>
          <t>PUBLISHED</t>
        </is>
      </c>
      <c r="L8" s="9" t="n">
        <v>1143.4</v>
      </c>
      <c r="M8" s="6" t="n">
        <v>1</v>
      </c>
      <c r="N8" s="12" t="n">
        <v>1</v>
      </c>
      <c r="O8" s="6" t="n">
        <v>42</v>
      </c>
      <c r="P8" s="5" t="inlineStr">
        <is>
          <t>built</t>
        </is>
      </c>
      <c r="Q8" s="5" t="inlineStr">
        <is>
          <t>ACCEPTABLE</t>
        </is>
      </c>
      <c r="R8" s="7" t="n">
        <v>24.76</v>
      </c>
      <c r="S8" s="8" t="inlineStr">
        <is>
          <t>EXPENSIVE_RELATIVE_TO_SAMPLE</t>
        </is>
      </c>
      <c r="T8" s="5" t="inlineStr">
        <is>
          <t>No</t>
        </is>
      </c>
      <c r="U8" s="5" t="inlineStr">
        <is>
          <t>UNKNOWN</t>
        </is>
      </c>
      <c r="V8" s="5" t="inlineStr">
        <is>
          <t>UNKNOWN</t>
        </is>
      </c>
      <c r="W8" s="5" t="inlineStr">
        <is>
          <t>Yes</t>
        </is>
      </c>
      <c r="X8" s="5" t="inlineStr">
        <is>
          <t>Yes</t>
        </is>
      </c>
      <c r="Y8" s="5" t="inlineStr">
        <is>
          <t>Yes</t>
        </is>
      </c>
      <c r="Z8" s="5" t="inlineStr">
        <is>
          <t>Yes</t>
        </is>
      </c>
      <c r="AA8" s="5" t="inlineStr">
        <is>
          <t>Yes</t>
        </is>
      </c>
      <c r="AB8" s="5" t="inlineStr">
        <is>
          <t>UNKNOWN</t>
        </is>
      </c>
      <c r="AC8" s="5" t="inlineStr">
        <is>
          <t>LOW · conf. high</t>
        </is>
      </c>
      <c r="AD8" s="6" t="n">
        <v>72</v>
      </c>
      <c r="AE8" s="8" t="inlineStr">
        <is>
          <t>Nearest major road (Vía Demo Expresa (DEMO)) 505 m away; no nightclub mapped within 500 m. Quietness estimate: high confidence.</t>
        </is>
      </c>
      <c r="AF8" s="6" t="n">
        <v>505</v>
      </c>
      <c r="AG8" s="6" t="n">
        <v>1116</v>
      </c>
      <c r="AH8" s="6" t="n">
        <v>0</v>
      </c>
      <c r="AI8" s="8" t="inlineStr">
        <is>
          <t>supermarket 264 m, pharmacy 125 m</t>
        </is>
      </c>
      <c r="AJ8" s="5" t="inlineStr">
        <is>
          <t>12 months min.</t>
        </is>
      </c>
      <c r="AK8" s="5" t="inlineStr">
        <is>
          <t>2 months deposit</t>
        </is>
      </c>
      <c r="AL8" s="5" t="inlineStr">
        <is>
          <t>UNKNOWN</t>
        </is>
      </c>
      <c r="AM8" s="5" t="inlineStr">
        <is>
          <t>2026-09-13</t>
        </is>
      </c>
      <c r="AN8" s="5" t="inlineStr">
        <is>
          <t>LIKELY_ACTIVE</t>
        </is>
      </c>
      <c r="AO8" s="8" t="inlineStr">
        <is>
          <t>low estimated noise (72/100); building security/controlled access; balcony/terrace</t>
        </is>
      </c>
      <c r="AP8" s="8" t="inlineStr">
        <is>
          <t>rent + maintenance ≈ USD 1,143 (USD 1,040 rent + S/ 350 maintenance) exceeds USD 1,000</t>
        </is>
      </c>
      <c r="AQ8" s="8" t="inlineStr">
        <is>
          <t>NO_FURNITURE; PRICE_OVER_BUDGET; TOTAL_COST_OVER_BUDGET</t>
        </is>
      </c>
      <c r="AR8" s="8" t="inlineStr">
        <is>
          <t>DEMO Inmobiliaria E</t>
        </is>
      </c>
      <c r="AS8" s="5" t="inlineStr">
        <is>
          <t>+5110001024</t>
        </is>
      </c>
      <c r="AT8" s="5" t="inlineStr">
        <is>
          <t>Urbania</t>
        </is>
      </c>
      <c r="AU8" s="6" t="n">
        <v>1</v>
      </c>
      <c r="AV8" s="5" t="inlineStr">
        <is>
          <t>G0025</t>
        </is>
      </c>
      <c r="AW8" s="5" t="inlineStr"/>
      <c r="AX8" s="10" t="inlineStr">
        <is>
          <t>View listing</t>
        </is>
      </c>
      <c r="AY8" s="5" t="inlineStr">
        <is>
          <t>—</t>
        </is>
      </c>
      <c r="AZ8" s="10" t="inlineStr">
        <is>
          <t>Open map</t>
        </is>
      </c>
      <c r="BA8" s="5" t="inlineStr">
        <is>
          <t>LISTING / EXACT</t>
        </is>
      </c>
      <c r="BB8" s="5" t="inlineStr">
        <is>
          <t>PROGRAMMATIC_PASS</t>
        </is>
      </c>
      <c r="BC8" s="5" t="inlineStr"/>
    </row>
    <row r="9">
      <c r="A9" s="6" t="n">
        <v>5</v>
      </c>
      <c r="B9" s="7" t="n">
        <v>55.5</v>
      </c>
      <c r="C9" s="8" t="inlineStr">
        <is>
          <t>1BR · 65 m² — Av. Ejemplo 213 (DEMO)</t>
        </is>
      </c>
      <c r="D9" s="5" t="inlineStr">
        <is>
          <t>STRETCH</t>
        </is>
      </c>
      <c r="E9" s="8" t="inlineStr">
        <is>
          <t>Rent USD 1,049: above the USD 1,000 target; only worth it if negotiable</t>
        </is>
      </c>
      <c r="F9" s="9" t="n">
        <v>1048.74</v>
      </c>
      <c r="G9" s="5" t="inlineStr">
        <is>
          <t>PEN 3,550</t>
        </is>
      </c>
      <c r="H9" s="5" t="inlineStr">
        <is>
          <t>CALCULATED</t>
        </is>
      </c>
      <c r="I9" s="11" t="n">
        <v>3550</v>
      </c>
      <c r="J9" s="5" t="inlineStr">
        <is>
          <t>S/ 300 (≈ USD 89)</t>
        </is>
      </c>
      <c r="K9" s="5" t="inlineStr">
        <is>
          <t>PUBLISHED</t>
        </is>
      </c>
      <c r="L9" s="9" t="n">
        <v>1137.37</v>
      </c>
      <c r="M9" s="6" t="n">
        <v>1</v>
      </c>
      <c r="N9" s="12" t="n">
        <v>2</v>
      </c>
      <c r="O9" s="6" t="n">
        <v>65</v>
      </c>
      <c r="P9" s="5" t="inlineStr">
        <is>
          <t>built</t>
        </is>
      </c>
      <c r="Q9" s="5" t="inlineStr">
        <is>
          <t>VERY_SPACIOUS</t>
        </is>
      </c>
      <c r="R9" s="7" t="n">
        <v>16.13</v>
      </c>
      <c r="S9" s="5" t="inlineStr">
        <is>
          <t>FAIR_VALUE</t>
        </is>
      </c>
      <c r="T9" s="5" t="inlineStr">
        <is>
          <t>Semi</t>
        </is>
      </c>
      <c r="U9" s="5" t="inlineStr">
        <is>
          <t>No</t>
        </is>
      </c>
      <c r="V9" s="5" t="inlineStr">
        <is>
          <t>UNKNOWN</t>
        </is>
      </c>
      <c r="W9" s="5" t="inlineStr">
        <is>
          <t>UNKNOWN</t>
        </is>
      </c>
      <c r="X9" s="5" t="inlineStr">
        <is>
          <t>UNKNOWN</t>
        </is>
      </c>
      <c r="Y9" s="5" t="inlineStr">
        <is>
          <t>UNKNOWN</t>
        </is>
      </c>
      <c r="Z9" s="5" t="inlineStr">
        <is>
          <t>UNKNOWN</t>
        </is>
      </c>
      <c r="AA9" s="5" t="inlineStr">
        <is>
          <t>UNKNOWN</t>
        </is>
      </c>
      <c r="AB9" s="5" t="inlineStr">
        <is>
          <t>Yes</t>
        </is>
      </c>
      <c r="AC9" s="5" t="inlineStr">
        <is>
          <t>LOW · conf. high</t>
        </is>
      </c>
      <c r="AD9" s="6" t="n">
        <v>81</v>
      </c>
      <c r="AE9" s="8" t="inlineStr">
        <is>
          <t>Nearest major road (Av. Demo Arterial (DEMO)) 414 m away; nightclub 424 m away; listing says interior-facing / contrafrente; seller describes the street as quiet (unverified claim). Quietness estimate: high confidence.</t>
        </is>
      </c>
      <c r="AF9" s="6" t="n">
        <v>414</v>
      </c>
      <c r="AG9" s="6" t="n">
        <v>424</v>
      </c>
      <c r="AH9" s="6" t="n">
        <v>0</v>
      </c>
      <c r="AI9" s="5" t="inlineStr">
        <is>
          <t>UNKNOWN</t>
        </is>
      </c>
      <c r="AJ9" s="5" t="inlineStr">
        <is>
          <t>6 months min.</t>
        </is>
      </c>
      <c r="AK9" s="5" t="inlineStr">
        <is>
          <t>UNKNOWN</t>
        </is>
      </c>
      <c r="AL9" s="5" t="inlineStr">
        <is>
          <t>UNKNOWN</t>
        </is>
      </c>
      <c r="AM9" s="5" t="inlineStr">
        <is>
          <t>2026-07-28</t>
        </is>
      </c>
      <c r="AN9" s="5" t="inlineStr">
        <is>
          <t>LIKELY_ACTIVE</t>
        </is>
      </c>
      <c r="AO9" s="8" t="inlineStr">
        <is>
          <t>65 m² built area — very spacious for a 1-bedroom; low estimated noise (81/100); interior-facing</t>
        </is>
      </c>
      <c r="AP9" s="8" t="inlineStr">
        <is>
          <t>rent + maintenance ≈ USD 1,137 (USD 1,049 rent + S/ 300 maintenance) exceeds USD 1,000</t>
        </is>
      </c>
      <c r="AQ9" s="8" t="inlineStr">
        <is>
          <t>INCOMPLETE_CONTACT; PRICE_CONVERTED_FROM_PEN; PRICE_OVER_BUDGET; TOTAL_COST_OVER_BUDGET</t>
        </is>
      </c>
      <c r="AR9" s="5" t="inlineStr">
        <is>
          <t>DEMO Agente G</t>
        </is>
      </c>
      <c r="AS9" s="5" t="inlineStr">
        <is>
          <t>UNKNOWN</t>
        </is>
      </c>
      <c r="AT9" s="5" t="inlineStr">
        <is>
          <t>Adondevivir</t>
        </is>
      </c>
      <c r="AU9" s="6" t="n">
        <v>1</v>
      </c>
      <c r="AV9" s="5" t="inlineStr">
        <is>
          <t>G0014</t>
        </is>
      </c>
      <c r="AW9" s="5" t="inlineStr"/>
      <c r="AX9" s="10" t="inlineStr">
        <is>
          <t>View listing</t>
        </is>
      </c>
      <c r="AY9" s="5" t="inlineStr">
        <is>
          <t>—</t>
        </is>
      </c>
      <c r="AZ9" s="10" t="inlineStr">
        <is>
          <t>Open map</t>
        </is>
      </c>
      <c r="BA9" s="5" t="inlineStr">
        <is>
          <t>LISTING / EXACT</t>
        </is>
      </c>
      <c r="BB9" s="5" t="inlineStr">
        <is>
          <t>PROGRAMMATIC_PASS</t>
        </is>
      </c>
      <c r="BC9" s="5" t="inlineStr"/>
    </row>
    <row r="10">
      <c r="A10" s="6" t="n">
        <v>6</v>
      </c>
      <c r="B10" s="7" t="n">
        <v>37.4</v>
      </c>
      <c r="C10" s="8" t="inlineStr">
        <is>
          <t>1BR · 38 m² — Calle Ejemplo 121 (DEMO)</t>
        </is>
      </c>
      <c r="D10" s="5" t="inlineStr">
        <is>
          <t>STRETCH</t>
        </is>
      </c>
      <c r="E10" s="8" t="inlineStr">
        <is>
          <t>Rent USD 1,030: above the USD 1,000 target; only worth it if negotiable</t>
        </is>
      </c>
      <c r="F10" s="9" t="n">
        <v>1030</v>
      </c>
      <c r="G10" s="5" t="inlineStr">
        <is>
          <t>USD 1,030</t>
        </is>
      </c>
      <c r="H10" s="5" t="inlineStr">
        <is>
          <t>PUBLISHED</t>
        </is>
      </c>
      <c r="I10" s="11" t="n">
        <v>3486.55</v>
      </c>
      <c r="J10" s="5" t="inlineStr">
        <is>
          <t>S/ 300 (≈ USD 89)</t>
        </is>
      </c>
      <c r="K10" s="5" t="inlineStr">
        <is>
          <t>PUBLISHED</t>
        </is>
      </c>
      <c r="L10" s="9" t="n">
        <v>1118.63</v>
      </c>
      <c r="M10" s="6" t="n">
        <v>1</v>
      </c>
      <c r="N10" s="12" t="n">
        <v>2</v>
      </c>
      <c r="O10" s="6" t="n">
        <v>38</v>
      </c>
      <c r="P10" s="5" t="inlineStr">
        <is>
          <t>built</t>
        </is>
      </c>
      <c r="Q10" s="5" t="inlineStr">
        <is>
          <t>SMALL</t>
        </is>
      </c>
      <c r="R10" s="7" t="n">
        <v>27.11</v>
      </c>
      <c r="S10" s="8" t="inlineStr">
        <is>
          <t>EXPENSIVE_RELATIVE_TO_SAMPLE</t>
        </is>
      </c>
      <c r="T10" s="5" t="inlineStr">
        <is>
          <t>UNKNOWN</t>
        </is>
      </c>
      <c r="U10" s="5" t="inlineStr">
        <is>
          <t>UNKNOWN</t>
        </is>
      </c>
      <c r="V10" s="5" t="n">
        <v>1</v>
      </c>
      <c r="W10" s="5" t="inlineStr">
        <is>
          <t>Yes</t>
        </is>
      </c>
      <c r="X10" s="5" t="inlineStr">
        <is>
          <t>Yes</t>
        </is>
      </c>
      <c r="Y10" s="5" t="inlineStr">
        <is>
          <t>UNKNOWN</t>
        </is>
      </c>
      <c r="Z10" s="5" t="inlineStr">
        <is>
          <t>UNKNOWN</t>
        </is>
      </c>
      <c r="AA10" s="5" t="inlineStr">
        <is>
          <t>UNKNOWN</t>
        </is>
      </c>
      <c r="AB10" s="5" t="inlineStr">
        <is>
          <t>UNKNOWN</t>
        </is>
      </c>
      <c r="AC10" s="5" t="inlineStr">
        <is>
          <t>HIGH · conf. low</t>
        </is>
      </c>
      <c r="AD10" s="6" t="n">
        <v>42</v>
      </c>
      <c r="AE10" s="8" t="inlineStr">
        <is>
          <t>17 m from Vía Demo Expresa (DEMO) (major road); no nightclub mapped within 500 m; portal location is approximate. Quietness estimate: low confidence.</t>
        </is>
      </c>
      <c r="AF10" s="6" t="n">
        <v>17</v>
      </c>
      <c r="AG10" s="6" t="n">
        <v>1339</v>
      </c>
      <c r="AH10" s="6" t="n">
        <v>0</v>
      </c>
      <c r="AI10" s="5" t="inlineStr">
        <is>
          <t>UNKNOWN</t>
        </is>
      </c>
      <c r="AJ10" s="5" t="inlineStr">
        <is>
          <t>UNKNOWN</t>
        </is>
      </c>
      <c r="AK10" s="5" t="inlineStr">
        <is>
          <t>UNKNOWN</t>
        </is>
      </c>
      <c r="AL10" s="5" t="inlineStr">
        <is>
          <t>UNKNOWN</t>
        </is>
      </c>
      <c r="AM10" s="5" t="inlineStr">
        <is>
          <t>2026-09-05</t>
        </is>
      </c>
      <c r="AN10" s="5" t="inlineStr">
        <is>
          <t>LIKELY_ACTIVE</t>
        </is>
      </c>
      <c r="AO10" s="5" t="inlineStr">
        <is>
          <t>balcony/terrace</t>
        </is>
      </c>
      <c r="AP10" s="8" t="inlineStr">
        <is>
          <t>high estimated noise: 17 m from Vía Demo Expresa (DEMO) (major road)</t>
        </is>
      </c>
      <c r="AQ10" s="8" t="inlineStr">
        <is>
          <t>APPROXIMATE_LOCATION; DIRECT_MAJOR_AVENUE; HIGH_NOISE_RISK; PRICE_OVER_BUDGET; TOTAL_COST_OVER_BUDGET</t>
        </is>
      </c>
      <c r="AR10" s="8" t="inlineStr">
        <is>
          <t>DEMO Inmobiliaria B</t>
        </is>
      </c>
      <c r="AS10" s="5" t="inlineStr">
        <is>
          <t>+5110001021</t>
        </is>
      </c>
      <c r="AT10" s="5" t="inlineStr">
        <is>
          <t>Adondevivir</t>
        </is>
      </c>
      <c r="AU10" s="6" t="n">
        <v>1</v>
      </c>
      <c r="AV10" s="5" t="inlineStr">
        <is>
          <t>G0022</t>
        </is>
      </c>
      <c r="AW10" s="5" t="inlineStr"/>
      <c r="AX10" s="10" t="inlineStr">
        <is>
          <t>View listing</t>
        </is>
      </c>
      <c r="AY10" s="5" t="inlineStr">
        <is>
          <t>—</t>
        </is>
      </c>
      <c r="AZ10" s="10" t="inlineStr">
        <is>
          <t>Open map</t>
        </is>
      </c>
      <c r="BA10" s="8" t="inlineStr">
        <is>
          <t>LISTING / APPROXIMATE</t>
        </is>
      </c>
      <c r="BB10" s="5" t="inlineStr">
        <is>
          <t>PROGRAMMATIC_PASS</t>
        </is>
      </c>
      <c r="BC10" s="5" t="inlineStr"/>
    </row>
    <row r="11">
      <c r="A11" s="6" t="n">
        <v>7</v>
      </c>
      <c r="B11" s="7" t="n">
        <v>49.3</v>
      </c>
      <c r="C11" s="8" t="inlineStr">
        <is>
          <t>1BR · 64 m² — Av. Ejemplo 207 (DEMO)</t>
        </is>
      </c>
      <c r="D11" s="5" t="inlineStr">
        <is>
          <t>STRETCH</t>
        </is>
      </c>
      <c r="E11" s="8" t="inlineStr">
        <is>
          <t>Rent USD 1,019: above the USD 1,000 target; only worth it if negotiable</t>
        </is>
      </c>
      <c r="F11" s="9" t="n">
        <v>1019.2</v>
      </c>
      <c r="G11" s="5" t="inlineStr">
        <is>
          <t>PEN 3,450</t>
        </is>
      </c>
      <c r="H11" s="5" t="inlineStr">
        <is>
          <t>CALCULATED</t>
        </is>
      </c>
      <c r="I11" s="11" t="n">
        <v>3450</v>
      </c>
      <c r="J11" s="5" t="inlineStr">
        <is>
          <t>S/ 350 (≈ USD 103)</t>
        </is>
      </c>
      <c r="K11" s="5" t="inlineStr">
        <is>
          <t>PUBLISHED</t>
        </is>
      </c>
      <c r="L11" s="9" t="n">
        <v>1122.6</v>
      </c>
      <c r="M11" s="6" t="n">
        <v>1</v>
      </c>
      <c r="N11" s="12" t="n">
        <v>1</v>
      </c>
      <c r="O11" s="6" t="n">
        <v>64</v>
      </c>
      <c r="P11" s="5" t="inlineStr">
        <is>
          <t>built</t>
        </is>
      </c>
      <c r="Q11" s="5" t="inlineStr">
        <is>
          <t>VERY_SPACIOUS</t>
        </is>
      </c>
      <c r="R11" s="7" t="n">
        <v>15.93</v>
      </c>
      <c r="S11" s="5" t="inlineStr">
        <is>
          <t>GOOD_VALUE</t>
        </is>
      </c>
      <c r="T11" s="5" t="inlineStr">
        <is>
          <t>Semi</t>
        </is>
      </c>
      <c r="U11" s="5" t="inlineStr">
        <is>
          <t>No</t>
        </is>
      </c>
      <c r="V11" s="5" t="inlineStr">
        <is>
          <t>UNKNOWN</t>
        </is>
      </c>
      <c r="W11" s="5" t="inlineStr">
        <is>
          <t>Yes</t>
        </is>
      </c>
      <c r="X11" s="5" t="inlineStr">
        <is>
          <t>UNKNOWN</t>
        </is>
      </c>
      <c r="Y11" s="5" t="inlineStr">
        <is>
          <t>UNKNOWN</t>
        </is>
      </c>
      <c r="Z11" s="5" t="inlineStr">
        <is>
          <t>Yes</t>
        </is>
      </c>
      <c r="AA11" s="5" t="inlineStr">
        <is>
          <t>Yes</t>
        </is>
      </c>
      <c r="AB11" s="5" t="inlineStr">
        <is>
          <t>UNKNOWN</t>
        </is>
      </c>
      <c r="AC11" s="5" t="inlineStr">
        <is>
          <t>HIGH · conf. high</t>
        </is>
      </c>
      <c r="AD11" s="6" t="n">
        <v>38</v>
      </c>
      <c r="AE11" s="8" t="inlineStr">
        <is>
          <t>36 m from Vía Demo Expresa (DEMO) (major road); no nightclub mapped within 500 m; street-facing unit near a major road. Quietness estimate: high confidence.</t>
        </is>
      </c>
      <c r="AF11" s="6" t="n">
        <v>36</v>
      </c>
      <c r="AG11" s="6" t="n">
        <v>1334</v>
      </c>
      <c r="AH11" s="6" t="n">
        <v>0</v>
      </c>
      <c r="AI11" s="5" t="inlineStr">
        <is>
          <t>UNKNOWN</t>
        </is>
      </c>
      <c r="AJ11" s="5" t="inlineStr">
        <is>
          <t>12 months min.</t>
        </is>
      </c>
      <c r="AK11" s="5" t="inlineStr">
        <is>
          <t>2 months deposit</t>
        </is>
      </c>
      <c r="AL11" s="5" t="inlineStr">
        <is>
          <t>UNKNOWN</t>
        </is>
      </c>
      <c r="AM11" s="5" t="inlineStr">
        <is>
          <t>2026-08-02</t>
        </is>
      </c>
      <c r="AN11" s="5" t="inlineStr">
        <is>
          <t>LIKELY_ACTIVE</t>
        </is>
      </c>
      <c r="AO11" s="8" t="inlineStr">
        <is>
          <t>64 m² built area — very spacious for a 1-bedroom; USD 15.9/m² (good value vs other 1BR in sample); building security/controlled access</t>
        </is>
      </c>
      <c r="AP11" s="8" t="inlineStr">
        <is>
          <t>high estimated noise: 36 m from Vía Demo Expresa (DEMO) (major road)</t>
        </is>
      </c>
      <c r="AQ11" s="8" t="inlineStr">
        <is>
          <t>DIRECT_MAJOR_AVENUE; HIGH_NOISE_RISK; INCOMPLETE_CONTACT; PRICE_CONVERTED_FROM_PEN; PRICE_OVER_BUDGET; TOTAL_COST_OVER_BUDGET</t>
        </is>
      </c>
      <c r="AR11" s="5" t="inlineStr">
        <is>
          <t>DEMO Agente I</t>
        </is>
      </c>
      <c r="AS11" s="5" t="inlineStr">
        <is>
          <t>UNKNOWN</t>
        </is>
      </c>
      <c r="AT11" s="5" t="inlineStr">
        <is>
          <t>Adondevivir</t>
        </is>
      </c>
      <c r="AU11" s="6" t="n">
        <v>1</v>
      </c>
      <c r="AV11" s="5" t="inlineStr">
        <is>
          <t>G0008</t>
        </is>
      </c>
      <c r="AW11" s="5" t="inlineStr"/>
      <c r="AX11" s="10" t="inlineStr">
        <is>
          <t>View listing</t>
        </is>
      </c>
      <c r="AY11" s="5" t="inlineStr">
        <is>
          <t>—</t>
        </is>
      </c>
      <c r="AZ11" s="10" t="inlineStr">
        <is>
          <t>Open map</t>
        </is>
      </c>
      <c r="BA11" s="5" t="inlineStr">
        <is>
          <t>LISTING / EXACT</t>
        </is>
      </c>
      <c r="BB11" s="5" t="inlineStr">
        <is>
          <t>PROGRAMMATIC_PASS</t>
        </is>
      </c>
      <c r="BC11" s="5" t="inlineStr"/>
    </row>
    <row r="12">
      <c r="A12" s="6" t="n">
        <v>8</v>
      </c>
      <c r="B12" s="7" t="n">
        <v>42.8</v>
      </c>
      <c r="C12" s="8" t="inlineStr">
        <is>
          <t>2BR · 73 m² — Av. Ejemplo 217 (DEMO)</t>
        </is>
      </c>
      <c r="D12" s="5" t="inlineStr">
        <is>
          <t>STRETCH</t>
        </is>
      </c>
      <c r="E12" s="8" t="inlineStr">
        <is>
          <t>Rent USD 1,049: above the USD 1,000 target; only worth it if negotiable</t>
        </is>
      </c>
      <c r="F12" s="9" t="n">
        <v>1048.74</v>
      </c>
      <c r="G12" s="5" t="inlineStr">
        <is>
          <t>PEN 3,550</t>
        </is>
      </c>
      <c r="H12" s="5" t="inlineStr">
        <is>
          <t>CALCULATED</t>
        </is>
      </c>
      <c r="I12" s="11" t="n">
        <v>3550</v>
      </c>
      <c r="J12" s="5" t="inlineStr">
        <is>
          <t>S/ 250 (≈ USD 74)</t>
        </is>
      </c>
      <c r="K12" s="5" t="inlineStr">
        <is>
          <t>PUBLISHED</t>
        </is>
      </c>
      <c r="L12" s="9" t="n">
        <v>1122.6</v>
      </c>
      <c r="M12" s="6" t="n">
        <v>2</v>
      </c>
      <c r="N12" s="12" t="n">
        <v>1</v>
      </c>
      <c r="O12" s="6" t="n">
        <v>73</v>
      </c>
      <c r="P12" s="5" t="inlineStr">
        <is>
          <t>built</t>
        </is>
      </c>
      <c r="Q12" s="5" t="inlineStr">
        <is>
          <t>GOOD</t>
        </is>
      </c>
      <c r="R12" s="7" t="n">
        <v>14.37</v>
      </c>
      <c r="S12" s="5" t="inlineStr">
        <is>
          <t>FAIR_VALUE</t>
        </is>
      </c>
      <c r="T12" s="5" t="inlineStr">
        <is>
          <t>Yes</t>
        </is>
      </c>
      <c r="U12" s="5" t="inlineStr">
        <is>
          <t>No</t>
        </is>
      </c>
      <c r="V12" s="5" t="inlineStr">
        <is>
          <t>UNKNOWN</t>
        </is>
      </c>
      <c r="W12" s="5" t="inlineStr">
        <is>
          <t>UNKNOWN</t>
        </is>
      </c>
      <c r="X12" s="5" t="inlineStr">
        <is>
          <t>UNKNOWN</t>
        </is>
      </c>
      <c r="Y12" s="5" t="inlineStr">
        <is>
          <t>UNKNOWN</t>
        </is>
      </c>
      <c r="Z12" s="5" t="inlineStr">
        <is>
          <t>Yes</t>
        </is>
      </c>
      <c r="AA12" s="5" t="inlineStr">
        <is>
          <t>UNKNOWN</t>
        </is>
      </c>
      <c r="AB12" s="5" t="inlineStr">
        <is>
          <t>UNKNOWN</t>
        </is>
      </c>
      <c r="AC12" s="5" t="inlineStr">
        <is>
          <t>HIGH · conf. high</t>
        </is>
      </c>
      <c r="AD12" s="6" t="n">
        <v>15</v>
      </c>
      <c r="AE12" s="8" t="inlineStr">
        <is>
          <t>136 m from Av. Demo Arterial (DEMO) (major road); nightclub 'Discoteca Demo (DEMO)' 109 m away; 1 bar(s) within 150 m; listing says it faces an avenue. Quietness estimate: high confidence.</t>
        </is>
      </c>
      <c r="AF12" s="6" t="n">
        <v>136</v>
      </c>
      <c r="AG12" s="6" t="n">
        <v>109</v>
      </c>
      <c r="AH12" s="6" t="n">
        <v>1</v>
      </c>
      <c r="AI12" s="8" t="inlineStr">
        <is>
          <t>bus/Metropolitano stop 170 m</t>
        </is>
      </c>
      <c r="AJ12" s="5" t="inlineStr">
        <is>
          <t>UNKNOWN</t>
        </is>
      </c>
      <c r="AK12" s="5" t="inlineStr">
        <is>
          <t>UNKNOWN</t>
        </is>
      </c>
      <c r="AL12" s="5" t="inlineStr">
        <is>
          <t>UNKNOWN</t>
        </is>
      </c>
      <c r="AM12" s="5" t="inlineStr">
        <is>
          <t>2026-08-22</t>
        </is>
      </c>
      <c r="AN12" s="5" t="inlineStr">
        <is>
          <t>LIKELY_ACTIVE</t>
        </is>
      </c>
      <c r="AO12" s="8" t="inlineStr">
        <is>
          <t>73 m² built area — good for a 2-bedroom; furnished; building security/controlled access</t>
        </is>
      </c>
      <c r="AP12" s="8" t="inlineStr">
        <is>
          <t>high estimated noise: 136 m from Av. Demo Arterial (DEMO) (major road)</t>
        </is>
      </c>
      <c r="AQ12" s="8" t="inlineStr">
        <is>
          <t>DIRECT_MAJOR_AVENUE; HIGH_NOISE_RISK; INCOMPLETE_CONTACT; NIGHTLIFE_PROXIMITY; PRICE_CONVERTED_FROM_PEN; PRICE_OVER_BUDGET; TOTAL_COST_OVER_BUDGET</t>
        </is>
      </c>
      <c r="AR12" s="5" t="inlineStr">
        <is>
          <t>DEMO Agente G</t>
        </is>
      </c>
      <c r="AS12" s="5" t="inlineStr">
        <is>
          <t>UNKNOWN</t>
        </is>
      </c>
      <c r="AT12" s="5" t="inlineStr">
        <is>
          <t>Adondevivir</t>
        </is>
      </c>
      <c r="AU12" s="6" t="n">
        <v>1</v>
      </c>
      <c r="AV12" s="5" t="inlineStr">
        <is>
          <t>G0018</t>
        </is>
      </c>
      <c r="AW12" s="5" t="inlineStr"/>
      <c r="AX12" s="10" t="inlineStr">
        <is>
          <t>View listing</t>
        </is>
      </c>
      <c r="AY12" s="5" t="inlineStr">
        <is>
          <t>—</t>
        </is>
      </c>
      <c r="AZ12" s="10" t="inlineStr">
        <is>
          <t>Open map</t>
        </is>
      </c>
      <c r="BA12" s="5" t="inlineStr">
        <is>
          <t>LISTING / EXACT</t>
        </is>
      </c>
      <c r="BB12" s="5" t="inlineStr">
        <is>
          <t>PROGRAMMATIC_PASS</t>
        </is>
      </c>
      <c r="BC12" s="5" t="inlineStr"/>
    </row>
    <row r="13">
      <c r="A13" s="6" t="n">
        <v>9</v>
      </c>
      <c r="B13" s="7" t="n">
        <v>41.6</v>
      </c>
      <c r="C13" s="8" t="inlineStr">
        <is>
          <t>1BR · 44 m² — Av. Ejemplo 219 (DEMO)</t>
        </is>
      </c>
      <c r="D13" s="5" t="inlineStr">
        <is>
          <t>STRETCH</t>
        </is>
      </c>
      <c r="E13" s="8" t="inlineStr">
        <is>
          <t>Rent USD 1,034: above the USD 1,000 target; only worth it if negotiable</t>
        </is>
      </c>
      <c r="F13" s="9" t="n">
        <v>1033.97</v>
      </c>
      <c r="G13" s="5" t="inlineStr">
        <is>
          <t>PEN 3,500</t>
        </is>
      </c>
      <c r="H13" s="5" t="inlineStr">
        <is>
          <t>CALCULATED</t>
        </is>
      </c>
      <c r="I13" s="11" t="n">
        <v>3500</v>
      </c>
      <c r="J13" s="5" t="inlineStr">
        <is>
          <t>S/ 300 (≈ USD 89)</t>
        </is>
      </c>
      <c r="K13" s="5" t="inlineStr">
        <is>
          <t>PUBLISHED</t>
        </is>
      </c>
      <c r="L13" s="9" t="n">
        <v>1122.6</v>
      </c>
      <c r="M13" s="6" t="n">
        <v>1</v>
      </c>
      <c r="N13" s="12" t="n">
        <v>2</v>
      </c>
      <c r="O13" s="6" t="n">
        <v>44</v>
      </c>
      <c r="P13" s="5" t="inlineStr">
        <is>
          <t>built</t>
        </is>
      </c>
      <c r="Q13" s="5" t="inlineStr">
        <is>
          <t>ACCEPTABLE</t>
        </is>
      </c>
      <c r="R13" s="7" t="n">
        <v>23.5</v>
      </c>
      <c r="S13" s="8" t="inlineStr">
        <is>
          <t>EXPENSIVE_RELATIVE_TO_SAMPLE</t>
        </is>
      </c>
      <c r="T13" s="5" t="inlineStr">
        <is>
          <t>UNKNOWN</t>
        </is>
      </c>
      <c r="U13" s="5" t="inlineStr">
        <is>
          <t>No</t>
        </is>
      </c>
      <c r="V13" s="5" t="n">
        <v>3</v>
      </c>
      <c r="W13" s="5" t="inlineStr">
        <is>
          <t>Yes</t>
        </is>
      </c>
      <c r="X13" s="5" t="inlineStr">
        <is>
          <t>UNKNOWN</t>
        </is>
      </c>
      <c r="Y13" s="5" t="inlineStr">
        <is>
          <t>UNKNOWN</t>
        </is>
      </c>
      <c r="Z13" s="5" t="inlineStr">
        <is>
          <t>UNKNOWN</t>
        </is>
      </c>
      <c r="AA13" s="5" t="inlineStr">
        <is>
          <t>UNKNOWN</t>
        </is>
      </c>
      <c r="AB13" s="5" t="inlineStr">
        <is>
          <t>UNKNOWN</t>
        </is>
      </c>
      <c r="AC13" s="8" t="inlineStr">
        <is>
          <t>HIGH · conf. medium</t>
        </is>
      </c>
      <c r="AD13" s="6" t="n">
        <v>45</v>
      </c>
      <c r="AE13" s="8" t="inlineStr">
        <is>
          <t>114 m from Av. Demo Arterial (DEMO) (major road); nightclub 'Discoteca Demo (DEMO)' 276 m away. Quietness estimate: medium confidence.</t>
        </is>
      </c>
      <c r="AF13" s="6" t="n">
        <v>114</v>
      </c>
      <c r="AG13" s="6" t="n">
        <v>276</v>
      </c>
      <c r="AH13" s="6" t="n">
        <v>0</v>
      </c>
      <c r="AI13" s="8" t="inlineStr">
        <is>
          <t>bus/Metropolitano stop 393 m</t>
        </is>
      </c>
      <c r="AJ13" s="5" t="inlineStr">
        <is>
          <t>UNKNOWN</t>
        </is>
      </c>
      <c r="AK13" s="5" t="inlineStr">
        <is>
          <t>UNKNOWN</t>
        </is>
      </c>
      <c r="AL13" s="5" t="inlineStr">
        <is>
          <t>UNKNOWN</t>
        </is>
      </c>
      <c r="AM13" s="5" t="inlineStr">
        <is>
          <t>2026-09-10</t>
        </is>
      </c>
      <c r="AN13" s="5" t="inlineStr">
        <is>
          <t>LIKELY_ACTIVE</t>
        </is>
      </c>
      <c r="AO13" s="5" t="inlineStr">
        <is>
          <t>balcony/terrace</t>
        </is>
      </c>
      <c r="AP13" s="8" t="inlineStr">
        <is>
          <t>high estimated noise: 114 m from Av. Demo Arterial (DEMO) (major road)</t>
        </is>
      </c>
      <c r="AQ13" s="8" t="inlineStr">
        <is>
          <t>HIGH_NOISE_RISK; INCOMPLETE_CONTACT; NIGHTLIFE_PROXIMITY; PRICE_CONVERTED_FROM_PEN; PRICE_OVER_BUDGET; TOTAL_COST_OVER_BUDGET</t>
        </is>
      </c>
      <c r="AR13" s="5" t="inlineStr">
        <is>
          <t>DEMO Agente I</t>
        </is>
      </c>
      <c r="AS13" s="5" t="inlineStr">
        <is>
          <t>UNKNOWN</t>
        </is>
      </c>
      <c r="AT13" s="5" t="inlineStr">
        <is>
          <t>Adondevivir</t>
        </is>
      </c>
      <c r="AU13" s="6" t="n">
        <v>1</v>
      </c>
      <c r="AV13" s="5" t="inlineStr">
        <is>
          <t>G0020</t>
        </is>
      </c>
      <c r="AW13" s="5" t="inlineStr"/>
      <c r="AX13" s="10" t="inlineStr">
        <is>
          <t>View listing</t>
        </is>
      </c>
      <c r="AY13" s="5" t="inlineStr">
        <is>
          <t>—</t>
        </is>
      </c>
      <c r="AZ13" s="10" t="inlineStr">
        <is>
          <t>Open map</t>
        </is>
      </c>
      <c r="BA13" s="5" t="inlineStr">
        <is>
          <t>LISTING / EXACT</t>
        </is>
      </c>
      <c r="BB13" s="5" t="inlineStr">
        <is>
          <t>PROGRAMMATIC_PASS</t>
        </is>
      </c>
      <c r="BC13" s="5" t="inlineStr"/>
    </row>
  </sheetData>
  <autoFilter ref="A4:BC13"/>
  <conditionalFormatting sqref="A5:BC13">
    <cfRule type="cellIs" priority="1" operator="equal" dxfId="0">
      <formula>"UNKNOWN"</formula>
    </cfRule>
    <cfRule type="expression" priority="8" dxfId="2">
      <formula>MOD(ROW(),2)=0</formula>
    </cfRule>
  </conditionalFormatting>
  <conditionalFormatting sqref="AC5:AC13">
    <cfRule type="expression" priority="2" dxfId="3" stopIfTrue="1">
      <formula>LEFT(AC5,3)="LOW"</formula>
    </cfRule>
    <cfRule type="expression" priority="3" dxfId="4" stopIfTrue="1">
      <formula>LEFT(AC5,6)="MEDIUM"</formula>
    </cfRule>
    <cfRule type="expression" priority="4" dxfId="5" stopIfTrue="1">
      <formula>LEFT(AC5,4)="HIGH"</formula>
    </cfRule>
  </conditionalFormatting>
  <conditionalFormatting sqref="L5:L13">
    <cfRule type="cellIs" priority="5" operator="greaterThan" dxfId="6" stopIfTrue="1">
      <formula>1000</formula>
    </cfRule>
  </conditionalFormatting>
  <conditionalFormatting sqref="F5:F13">
    <cfRule type="cellIs" priority="6" operator="greaterThan" dxfId="6" stopIfTrue="1">
      <formula>1000</formula>
    </cfRule>
  </conditionalFormatting>
  <conditionalFormatting sqref="B5:B13">
    <cfRule type="cellIs" priority="7" operator="greaterThanOrEqual" dxfId="7">
      <formula>75</formula>
    </cfRule>
  </conditionalFormatting>
  <hyperlinks>
    <hyperlink xmlns:r="http://schemas.openxmlformats.org/officeDocument/2006/relationships" ref="AX5" r:id="rId1"/>
    <hyperlink xmlns:r="http://schemas.openxmlformats.org/officeDocument/2006/relationships" ref="AZ5" r:id="rId2"/>
    <hyperlink xmlns:r="http://schemas.openxmlformats.org/officeDocument/2006/relationships" ref="AX6" r:id="rId3"/>
    <hyperlink xmlns:r="http://schemas.openxmlformats.org/officeDocument/2006/relationships" ref="AZ6" r:id="rId4"/>
    <hyperlink xmlns:r="http://schemas.openxmlformats.org/officeDocument/2006/relationships" ref="AX7" r:id="rId5"/>
    <hyperlink xmlns:r="http://schemas.openxmlformats.org/officeDocument/2006/relationships" ref="AZ7" r:id="rId6"/>
    <hyperlink xmlns:r="http://schemas.openxmlformats.org/officeDocument/2006/relationships" ref="AX8" r:id="rId7"/>
    <hyperlink xmlns:r="http://schemas.openxmlformats.org/officeDocument/2006/relationships" ref="AZ8" r:id="rId8"/>
    <hyperlink xmlns:r="http://schemas.openxmlformats.org/officeDocument/2006/relationships" ref="AX9" r:id="rId9"/>
    <hyperlink xmlns:r="http://schemas.openxmlformats.org/officeDocument/2006/relationships" ref="AZ9" r:id="rId10"/>
    <hyperlink xmlns:r="http://schemas.openxmlformats.org/officeDocument/2006/relationships" ref="AX10" r:id="rId11"/>
    <hyperlink xmlns:r="http://schemas.openxmlformats.org/officeDocument/2006/relationships" ref="AZ10" r:id="rId12"/>
    <hyperlink xmlns:r="http://schemas.openxmlformats.org/officeDocument/2006/relationships" ref="AX11" r:id="rId13"/>
    <hyperlink xmlns:r="http://schemas.openxmlformats.org/officeDocument/2006/relationships" ref="AZ11" r:id="rId14"/>
    <hyperlink xmlns:r="http://schemas.openxmlformats.org/officeDocument/2006/relationships" ref="AX12" r:id="rId15"/>
    <hyperlink xmlns:r="http://schemas.openxmlformats.org/officeDocument/2006/relationships" ref="AZ12" r:id="rId16"/>
    <hyperlink xmlns:r="http://schemas.openxmlformats.org/officeDocument/2006/relationships" ref="AX13" r:id="rId17"/>
    <hyperlink xmlns:r="http://schemas.openxmlformats.org/officeDocument/2006/relationships" ref="AZ13" r:id="rId18"/>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C5"/>
  <sheetViews>
    <sheetView zoomScale="10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34" customWidth="1" min="3" max="3"/>
    <col width="11" customWidth="1" min="4" max="4"/>
    <col width="30" customWidth="1" min="5" max="5"/>
    <col width="11" customWidth="1" min="6" max="6"/>
    <col width="13" customWidth="1" min="7" max="7"/>
    <col width="11" customWidth="1" min="8" max="8"/>
    <col width="10" customWidth="1" min="9" max="9"/>
    <col width="16" customWidth="1" min="10" max="10"/>
    <col width="11" customWidth="1" min="11" max="11"/>
    <col width="11" customWidth="1" min="12" max="12"/>
    <col width="8" customWidth="1" min="13" max="13"/>
    <col width="8" customWidth="1" min="14" max="14"/>
    <col width="8" customWidth="1" min="15" max="15"/>
    <col width="8" customWidth="1" min="16" max="16"/>
    <col width="12" customWidth="1" min="17" max="17"/>
    <col width="8" customWidth="1" min="18" max="18"/>
    <col width="18" customWidth="1" min="19" max="19"/>
    <col width="10" customWidth="1" min="20" max="20"/>
    <col width="9" customWidth="1" min="21" max="21"/>
    <col width="7" customWidth="1" min="22" max="22"/>
    <col width="9" customWidth="1" min="23" max="23"/>
    <col width="8" customWidth="1" min="24" max="24"/>
    <col width="8" customWidth="1" min="25" max="25"/>
    <col width="8" customWidth="1" min="26" max="26"/>
    <col width="7" customWidth="1" min="27" max="27"/>
    <col width="8" customWidth="1" min="28" max="28"/>
    <col width="14" customWidth="1" min="29" max="29"/>
    <col width="9" customWidth="1" min="30" max="30"/>
    <col width="50" customWidth="1" min="31" max="31"/>
    <col width="10" customWidth="1" min="32" max="32"/>
    <col width="10" customWidth="1" min="33" max="33"/>
    <col width="8" customWidth="1" min="34" max="34"/>
    <col width="30" customWidth="1" min="35" max="35"/>
    <col width="12" customWidth="1" min="36" max="36"/>
    <col width="14" customWidth="1" min="37" max="37"/>
    <col width="14" customWidth="1" min="38" max="38"/>
    <col width="11" customWidth="1" min="39" max="39"/>
    <col width="14" customWidth="1" min="40" max="40"/>
    <col width="40" customWidth="1" min="41" max="41"/>
    <col width="36" customWidth="1" min="42" max="42"/>
    <col width="40" customWidth="1" min="43" max="43"/>
    <col width="20" customWidth="1" min="44" max="44"/>
    <col width="14" customWidth="1" min="45" max="45"/>
    <col width="14" customWidth="1" min="46" max="46"/>
    <col width="7" customWidth="1" min="47" max="47"/>
    <col width="9" customWidth="1" min="48" max="48"/>
    <col width="24" customWidth="1" min="49" max="49"/>
    <col width="12" customWidth="1" min="50" max="50"/>
    <col width="14" customWidth="1" min="51" max="51"/>
    <col width="10" customWidth="1" min="52" max="52"/>
    <col width="16" customWidth="1" min="53" max="53"/>
    <col width="18" customWidth="1" min="54" max="54"/>
    <col width="30" customWidth="1" min="55" max="55"/>
  </cols>
  <sheetData>
    <row r="1">
      <c r="A1" s="1" t="inlineStr">
        <is>
          <t>Near misses — just outside Miraflores, exceptionally strong</t>
        </is>
      </c>
    </row>
    <row r="2">
      <c r="A2" s="2" t="inlineStr">
        <is>
          <t>Generated 2026-09-24T17:45:06-05:00 · FX 1 USD = S/ 3.385 (fallback)</t>
        </is>
      </c>
    </row>
    <row r="3">
      <c r="A3" s="3" t="inlineStr">
        <is>
          <t>SYNTHETIC DEMO DATA — FORMAT PREVIEW ONLY — THESE ARE NOT REAL LISTINGS</t>
        </is>
      </c>
    </row>
    <row r="4" ht="30" customHeight="1">
      <c r="A4" s="4" t="inlineStr">
        <is>
          <t>Rank</t>
        </is>
      </c>
      <c r="B4" s="4" t="inlineStr">
        <is>
          <t>Fit Score</t>
        </is>
      </c>
      <c r="C4" s="4" t="inlineStr">
        <is>
          <t>Property</t>
        </is>
      </c>
      <c r="D4" s="4" t="inlineStr">
        <is>
          <t>Category</t>
        </is>
      </c>
      <c r="E4" s="4" t="inlineStr">
        <is>
          <t>Why in this sheet</t>
        </is>
      </c>
      <c r="F4" s="4" t="inlineStr">
        <is>
          <t>Monthly Rent USD</t>
        </is>
      </c>
      <c r="G4" s="4" t="inlineStr">
        <is>
          <t>Rent as published</t>
        </is>
      </c>
      <c r="H4" s="4" t="inlineStr">
        <is>
          <t>Rent USD basis</t>
        </is>
      </c>
      <c r="I4" s="4" t="inlineStr">
        <is>
          <t>Rent PEN</t>
        </is>
      </c>
      <c r="J4" s="4" t="inlineStr">
        <is>
          <t>Maintenance</t>
        </is>
      </c>
      <c r="K4" s="4" t="inlineStr">
        <is>
          <t>Maintenance basis</t>
        </is>
      </c>
      <c r="L4" s="4" t="inlineStr">
        <is>
          <t>Estimated Total USD</t>
        </is>
      </c>
      <c r="M4" s="4" t="inlineStr">
        <is>
          <t>Bedrooms</t>
        </is>
      </c>
      <c r="N4" s="4" t="inlineStr">
        <is>
          <t>Bathrooms</t>
        </is>
      </c>
      <c r="O4" s="4" t="inlineStr">
        <is>
          <t>Area m²</t>
        </is>
      </c>
      <c r="P4" s="4" t="inlineStr">
        <is>
          <t>Area basis</t>
        </is>
      </c>
      <c r="Q4" s="4" t="inlineStr">
        <is>
          <t>Space band</t>
        </is>
      </c>
      <c r="R4" s="4" t="inlineStr">
        <is>
          <t>USD/m²</t>
        </is>
      </c>
      <c r="S4" s="4" t="inlineStr">
        <is>
          <t>Value band</t>
        </is>
      </c>
      <c r="T4" s="4" t="inlineStr">
        <is>
          <t>Furnished</t>
        </is>
      </c>
      <c r="U4" s="4" t="inlineStr">
        <is>
          <t>Parking</t>
        </is>
      </c>
      <c r="V4" s="4" t="inlineStr">
        <is>
          <t>Floor</t>
        </is>
      </c>
      <c r="W4" s="4" t="inlineStr">
        <is>
          <t>Balcony/Terrace</t>
        </is>
      </c>
      <c r="X4" s="4" t="inlineStr">
        <is>
          <t>Laundry</t>
        </is>
      </c>
      <c r="Y4" s="4" t="inlineStr">
        <is>
          <t>Elevator</t>
        </is>
      </c>
      <c r="Z4" s="4" t="inlineStr">
        <is>
          <t>Security</t>
        </is>
      </c>
      <c r="AA4" s="4" t="inlineStr">
        <is>
          <t>Pets</t>
        </is>
      </c>
      <c r="AB4" s="4" t="inlineStr">
        <is>
          <t>Interior view</t>
        </is>
      </c>
      <c r="AC4" s="4" t="inlineStr">
        <is>
          <t>Noise Risk</t>
        </is>
      </c>
      <c r="AD4" s="4" t="inlineStr">
        <is>
          <t>Quietness Score</t>
        </is>
      </c>
      <c r="AE4" s="4" t="inlineStr">
        <is>
          <t>Quietness evidence</t>
        </is>
      </c>
      <c r="AF4" s="4" t="inlineStr">
        <is>
          <t>Nearest major road (m)</t>
        </is>
      </c>
      <c r="AG4" s="4" t="inlineStr">
        <is>
          <t>Nearest nightclub (m)</t>
        </is>
      </c>
      <c r="AH4" s="4" t="inlineStr">
        <is>
          <t>Bars ≤150 m</t>
        </is>
      </c>
      <c r="AI4" s="4" t="inlineStr">
        <is>
          <t>Daily needs nearby</t>
        </is>
      </c>
      <c r="AJ4" s="4" t="inlineStr">
        <is>
          <t>Contract</t>
        </is>
      </c>
      <c r="AK4" s="4" t="inlineStr">
        <is>
          <t>Deposit</t>
        </is>
      </c>
      <c r="AL4" s="4" t="inlineStr">
        <is>
          <t>Utilities included</t>
        </is>
      </c>
      <c r="AM4" s="4" t="inlineStr">
        <is>
          <t>Published</t>
        </is>
      </c>
      <c r="AN4" s="4" t="inlineStr">
        <is>
          <t>Active status</t>
        </is>
      </c>
      <c r="AO4" s="4" t="inlineStr">
        <is>
          <t>Main Advantage</t>
        </is>
      </c>
      <c r="AP4" s="4" t="inlineStr">
        <is>
          <t>Main Drawback</t>
        </is>
      </c>
      <c r="AQ4" s="4" t="inlineStr">
        <is>
          <t>Red flags</t>
        </is>
      </c>
      <c r="AR4" s="4" t="inlineStr">
        <is>
          <t>Agency / agent</t>
        </is>
      </c>
      <c r="AS4" s="4" t="inlineStr">
        <is>
          <t>Phone</t>
        </is>
      </c>
      <c r="AT4" s="4" t="inlineStr">
        <is>
          <t>Source</t>
        </is>
      </c>
      <c r="AU4" s="4" t="inlineStr">
        <is>
          <t># Sources</t>
        </is>
      </c>
      <c r="AV4" s="4" t="inlineStr">
        <is>
          <t>Duplicate group</t>
        </is>
      </c>
      <c r="AW4" s="4" t="inlineStr">
        <is>
          <t>Duplicate conflicts</t>
        </is>
      </c>
      <c r="AX4" s="4" t="inlineStr">
        <is>
          <t>View Listing</t>
        </is>
      </c>
      <c r="AY4" s="4" t="inlineStr">
        <is>
          <t>WhatsApp</t>
        </is>
      </c>
      <c r="AZ4" s="4" t="inlineStr">
        <is>
          <t>Map</t>
        </is>
      </c>
      <c r="BA4" s="4" t="inlineStr">
        <is>
          <t>Location source</t>
        </is>
      </c>
      <c r="BB4" s="4" t="inlineStr">
        <is>
          <t>QA Status</t>
        </is>
      </c>
      <c r="BC4" s="4" t="inlineStr">
        <is>
          <t>QA notes</t>
        </is>
      </c>
    </row>
    <row r="5">
      <c r="A5" s="6" t="n">
        <v>1</v>
      </c>
      <c r="B5" s="7" t="n">
        <v>74.5</v>
      </c>
      <c r="C5" s="8" t="inlineStr">
        <is>
          <t>2BR · 88 m² — Calle Borde 905 (DEMO)</t>
        </is>
      </c>
      <c r="D5" s="5" t="inlineStr">
        <is>
          <t>NEAR_MISS</t>
        </is>
      </c>
      <c r="E5" s="8" t="inlineStr">
        <is>
          <t>outside Miraflores (163 m beyond the boundary)</t>
        </is>
      </c>
      <c r="F5" s="9" t="n">
        <v>880</v>
      </c>
      <c r="G5" s="5" t="inlineStr">
        <is>
          <t>USD 880</t>
        </is>
      </c>
      <c r="H5" s="5" t="inlineStr">
        <is>
          <t>PUBLISHED</t>
        </is>
      </c>
      <c r="I5" s="11" t="n">
        <v>2978.8</v>
      </c>
      <c r="J5" s="5" t="inlineStr">
        <is>
          <t>S/ 420 (≈ USD 124)</t>
        </is>
      </c>
      <c r="K5" s="5" t="inlineStr">
        <is>
          <t>PUBLISHED</t>
        </is>
      </c>
      <c r="L5" s="9" t="n">
        <v>1004.08</v>
      </c>
      <c r="M5" s="6" t="n">
        <v>2</v>
      </c>
      <c r="N5" s="12" t="n">
        <v>1.5</v>
      </c>
      <c r="O5" s="6" t="n">
        <v>88</v>
      </c>
      <c r="P5" s="5" t="inlineStr">
        <is>
          <t>built</t>
        </is>
      </c>
      <c r="Q5" s="5" t="inlineStr">
        <is>
          <t>VERY_SPACIOUS</t>
        </is>
      </c>
      <c r="R5" s="7" t="n">
        <v>10</v>
      </c>
      <c r="S5" s="5" t="inlineStr">
        <is>
          <t>INSUFFICIENT_DATA</t>
        </is>
      </c>
      <c r="T5" s="5" t="inlineStr">
        <is>
          <t>Yes</t>
        </is>
      </c>
      <c r="U5" s="5" t="inlineStr">
        <is>
          <t>UNKNOWN</t>
        </is>
      </c>
      <c r="V5" s="5" t="inlineStr">
        <is>
          <t>UNKNOWN</t>
        </is>
      </c>
      <c r="W5" s="5" t="inlineStr">
        <is>
          <t>UNKNOWN</t>
        </is>
      </c>
      <c r="X5" s="5" t="inlineStr">
        <is>
          <t>Yes</t>
        </is>
      </c>
      <c r="Y5" s="5" t="inlineStr">
        <is>
          <t>Yes</t>
        </is>
      </c>
      <c r="Z5" s="5" t="inlineStr">
        <is>
          <t>Yes</t>
        </is>
      </c>
      <c r="AA5" s="5" t="inlineStr">
        <is>
          <t>UNKNOWN</t>
        </is>
      </c>
      <c r="AB5" s="5" t="inlineStr">
        <is>
          <t>Yes</t>
        </is>
      </c>
      <c r="AC5" s="5" t="inlineStr">
        <is>
          <t>LOW · conf. low</t>
        </is>
      </c>
      <c r="AD5" s="6" t="n">
        <v>94</v>
      </c>
      <c r="AE5" s="8" t="inlineStr">
        <is>
          <t>Nearest major road (Vía Demo Expresa (DEMO)) 1197 m away; no nightclub mapped within 500 m; listing says interior-facing / contrafrente; acoustic / double-glazed windows mentioned; portal location is approximate. Quietness estimate: low confidence.</t>
        </is>
      </c>
      <c r="AF5" s="6" t="n">
        <v>1197</v>
      </c>
      <c r="AG5" s="6" t="n">
        <v>2496</v>
      </c>
      <c r="AH5" s="6" t="n">
        <v>0</v>
      </c>
      <c r="AI5" s="5" t="inlineStr">
        <is>
          <t>UNKNOWN</t>
        </is>
      </c>
      <c r="AJ5" s="5" t="inlineStr">
        <is>
          <t>UNKNOWN</t>
        </is>
      </c>
      <c r="AK5" s="5" t="inlineStr">
        <is>
          <t>UNKNOWN</t>
        </is>
      </c>
      <c r="AL5" s="5" t="inlineStr">
        <is>
          <t>UNKNOWN</t>
        </is>
      </c>
      <c r="AM5" s="5" t="inlineStr">
        <is>
          <t>2026-09-03</t>
        </is>
      </c>
      <c r="AN5" s="5" t="inlineStr">
        <is>
          <t>LIKELY_ACTIVE</t>
        </is>
      </c>
      <c r="AO5" s="8" t="inlineStr">
        <is>
          <t>88 m² built area — very spacious for a 2-bedroom; interior-facing; acoustic/double-glazed windows</t>
        </is>
      </c>
      <c r="AP5" s="8" t="inlineStr">
        <is>
          <t>rent + maintenance ≈ USD 1,004 (USD 880 rent + S/ 420 maintenance) exceeds USD 1,000</t>
        </is>
      </c>
      <c r="AQ5" s="8" t="inlineStr">
        <is>
          <t>APPROXIMATE_LOCATION; AREA_INCONSISTENT; TOTAL_COST_OVER_BUDGET</t>
        </is>
      </c>
      <c r="AR5" s="8" t="inlineStr">
        <is>
          <t>DEMO Inmobiliaria C</t>
        </is>
      </c>
      <c r="AS5" s="5" t="inlineStr">
        <is>
          <t>+5110009005</t>
        </is>
      </c>
      <c r="AT5" s="5" t="inlineStr">
        <is>
          <t>Urbania</t>
        </is>
      </c>
      <c r="AU5" s="6" t="n">
        <v>1</v>
      </c>
      <c r="AV5" s="5" t="inlineStr">
        <is>
          <t>G0039</t>
        </is>
      </c>
      <c r="AW5" s="5" t="inlineStr"/>
      <c r="AX5" s="10" t="inlineStr">
        <is>
          <t>View listing</t>
        </is>
      </c>
      <c r="AY5" s="5" t="inlineStr">
        <is>
          <t>—</t>
        </is>
      </c>
      <c r="AZ5" s="10" t="inlineStr">
        <is>
          <t>Open map</t>
        </is>
      </c>
      <c r="BA5" s="8" t="inlineStr">
        <is>
          <t>LISTING / APPROXIMATE</t>
        </is>
      </c>
      <c r="BB5" s="5" t="inlineStr">
        <is>
          <t>PROGRAMMATIC_PASS</t>
        </is>
      </c>
      <c r="BC5" s="5" t="inlineStr"/>
    </row>
  </sheetData>
  <autoFilter ref="A4:BC5"/>
  <conditionalFormatting sqref="A5:BC5">
    <cfRule type="cellIs" priority="1" operator="equal" dxfId="0">
      <formula>"UNKNOWN"</formula>
    </cfRule>
    <cfRule type="expression" priority="8" dxfId="2">
      <formula>MOD(ROW(),2)=0</formula>
    </cfRule>
  </conditionalFormatting>
  <conditionalFormatting sqref="AC5">
    <cfRule type="expression" priority="2" dxfId="3" stopIfTrue="1">
      <formula>LEFT(AC5,3)="LOW"</formula>
    </cfRule>
    <cfRule type="expression" priority="3" dxfId="4" stopIfTrue="1">
      <formula>LEFT(AC5,6)="MEDIUM"</formula>
    </cfRule>
    <cfRule type="expression" priority="4" dxfId="5" stopIfTrue="1">
      <formula>LEFT(AC5,4)="HIGH"</formula>
    </cfRule>
  </conditionalFormatting>
  <conditionalFormatting sqref="L5">
    <cfRule type="cellIs" priority="5" operator="greaterThan" dxfId="6" stopIfTrue="1">
      <formula>1000</formula>
    </cfRule>
  </conditionalFormatting>
  <conditionalFormatting sqref="F5">
    <cfRule type="cellIs" priority="6" operator="greaterThan" dxfId="6" stopIfTrue="1">
      <formula>1000</formula>
    </cfRule>
  </conditionalFormatting>
  <conditionalFormatting sqref="B5">
    <cfRule type="cellIs" priority="7" operator="greaterThanOrEqual" dxfId="7">
      <formula>75</formula>
    </cfRule>
  </conditionalFormatting>
  <hyperlinks>
    <hyperlink xmlns:r="http://schemas.openxmlformats.org/officeDocument/2006/relationships" ref="AX5" r:id="rId1"/>
    <hyperlink xmlns:r="http://schemas.openxmlformats.org/officeDocument/2006/relationships" ref="AZ5" r:id="rId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6"/>
  <sheetViews>
    <sheetView zoomScale="10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26" customWidth="1" min="3" max="3"/>
    <col width="40" customWidth="1" min="4" max="4"/>
    <col width="10" customWidth="1" min="5" max="5"/>
    <col width="18" customWidth="1" min="6" max="6"/>
    <col width="14" customWidth="1" min="7" max="7"/>
    <col width="14" customWidth="1" min="8" max="8"/>
    <col width="16" customWidth="1" min="9" max="9"/>
    <col width="14" customWidth="1" min="10" max="10"/>
    <col width="14" customWidth="1" min="11" max="11"/>
    <col width="14" customWidth="1" min="12" max="12"/>
    <col width="14" customWidth="1" min="13" max="13"/>
    <col width="60" customWidth="1" min="14" max="14"/>
  </cols>
  <sheetData>
    <row r="1">
      <c r="A1" s="1" t="inlineStr">
        <is>
          <t>Source audit</t>
        </is>
      </c>
    </row>
    <row r="2">
      <c r="A2" s="2" t="inlineStr">
        <is>
          <t>Generated 2026-09-24T17:45:06-05:00 · FX 1 USD = S/ 3.385 (fallback)</t>
        </is>
      </c>
    </row>
    <row r="3">
      <c r="A3" s="3" t="inlineStr">
        <is>
          <t>SYNTHETIC DEMO DATA — FORMAT PREVIEW ONLY — THESE ARE NOT REAL LISTINGS</t>
        </is>
      </c>
    </row>
    <row r="4" ht="30" customHeight="1">
      <c r="A4" s="4" t="inlineStr">
        <is>
          <t>Source</t>
        </is>
      </c>
      <c r="B4" s="4" t="inlineStr">
        <is>
          <t>Status</t>
        </is>
      </c>
      <c r="C4" s="4" t="inlineStr">
        <is>
          <t>Method</t>
        </is>
      </c>
      <c r="D4" s="4" t="inlineStr">
        <is>
          <t>Target search URL</t>
        </is>
      </c>
      <c r="E4" s="4" t="inlineStr">
        <is>
          <t>Records collected</t>
        </is>
      </c>
      <c r="F4" s="4" t="inlineStr">
        <is>
          <t>Public access</t>
        </is>
      </c>
      <c r="G4" s="4" t="inlineStr">
        <is>
          <t>Pagination</t>
        </is>
      </c>
      <c r="H4" s="4" t="inlineStr">
        <is>
          <t>Detail pages</t>
        </is>
      </c>
      <c r="I4" s="4" t="inlineStr">
        <is>
          <t>Contact data</t>
        </is>
      </c>
      <c r="J4" s="4" t="inlineStr">
        <is>
          <t>Coordinates</t>
        </is>
      </c>
      <c r="K4" s="4" t="inlineStr">
        <is>
          <t>Publication date</t>
        </is>
      </c>
      <c r="L4" s="4" t="inlineStr">
        <is>
          <t>Maintenance fee</t>
        </is>
      </c>
      <c r="M4" s="4" t="inlineStr">
        <is>
          <t>Completeness</t>
        </is>
      </c>
      <c r="N4" s="4" t="inlineStr">
        <is>
          <t>Limitations / errors</t>
        </is>
      </c>
    </row>
    <row r="5">
      <c r="A5" s="5" t="inlineStr">
        <is>
          <t>Urbania</t>
        </is>
      </c>
      <c r="B5" s="5" t="inlineStr">
        <is>
          <t>NOT RUN</t>
        </is>
      </c>
      <c r="C5" s="8" t="inlineStr">
        <is>
          <t>Apify actor scrapers_lat/urbania-scraper (primary); single polite direct fetch that stops at any bot challenge (fallback without token)</t>
        </is>
      </c>
      <c r="D5" s="8" t="inlineStr">
        <is>
          <t>https://urbania.pe/buscar/alquiler-de-departamentos-en-miraflores--lima--lima</t>
        </is>
      </c>
      <c r="E5" s="5" t="n">
        <v>0</v>
      </c>
      <c r="F5" s="8" t="inlineStr">
        <is>
          <t>Public search and detail pages, no login</t>
        </is>
      </c>
      <c r="G5" s="8" t="inlineStr">
        <is>
          <t>Handled by actor (direct: ?page=N)</t>
        </is>
      </c>
      <c r="H5" s="8" t="inlineStr">
        <is>
          <t>Expected via actor (docs: 'all fields exposed by listing and detail pages')</t>
        </is>
      </c>
      <c r="I5" s="8" t="inlineStr">
        <is>
          <t>Expected: phone / WhatsApp (actor docs)</t>
        </is>
      </c>
      <c r="J5" s="8" t="inlineStr">
        <is>
          <t>Expected (Navent geolocation; may be approximate)</t>
        </is>
      </c>
      <c r="K5" s="8" t="inlineStr">
        <is>
          <t>Expected (relative 'Publicado hace…')</t>
        </is>
      </c>
      <c r="L5" s="8" t="inlineStr">
        <is>
          <t>Expected when advertiser publishes 'Mantenimiento'</t>
        </is>
      </c>
      <c r="M5" s="8" t="inlineStr">
        <is>
          <t>not measured (no records)</t>
        </is>
      </c>
      <c r="N5" s="8" t="inlineStr">
        <is>
          <t>not run | Navent platform uses bot protection; direct scraping not attempted beyond one polite request. Actor input names partly undocumented — unknown inputs are dropped and filters re-applied after extraction.</t>
        </is>
      </c>
    </row>
    <row r="6">
      <c r="A6" s="5" t="inlineStr">
        <is>
          <t>Adondevivir</t>
        </is>
      </c>
      <c r="B6" s="5" t="inlineStr">
        <is>
          <t>NOT RUN</t>
        </is>
      </c>
      <c r="C6" s="8" t="inlineStr">
        <is>
          <t>Apify actor scrapers_lat/adondevivir-scraper (primary); polite direct fallback</t>
        </is>
      </c>
      <c r="D6" s="8" t="inlineStr">
        <is>
          <t>https://www.adondevivir.com/departamentos-en-alquiler-en-miraflores.html</t>
        </is>
      </c>
      <c r="E6" s="5" t="n">
        <v>0</v>
      </c>
      <c r="F6" s="8" t="inlineStr">
        <is>
          <t>Public search and detail pages, no login</t>
        </is>
      </c>
      <c r="G6" s="8" t="inlineStr">
        <is>
          <t>Handled by actor (direct: -pagina-N.html)</t>
        </is>
      </c>
      <c r="H6" s="5" t="inlineStr">
        <is>
          <t>Expected via actor</t>
        </is>
      </c>
      <c r="I6" s="8" t="inlineStr">
        <is>
          <t>Expected: agent phone and WhatsApp (actor docs)</t>
        </is>
      </c>
      <c r="J6" s="8" t="inlineStr">
        <is>
          <t>Expected (same Navent backend as Urbania)</t>
        </is>
      </c>
      <c r="K6" s="8" t="inlineStr">
        <is>
          <t>Expected (relative)</t>
        </is>
      </c>
      <c r="L6" s="8" t="inlineStr">
        <is>
          <t>Expected when published</t>
        </is>
      </c>
      <c r="M6" s="8" t="inlineStr">
        <is>
          <t>not measured (no records)</t>
        </is>
      </c>
      <c r="N6" s="8" t="inlineStr">
        <is>
          <t>not run | Actor docs: free-tier runs capped at 10 listings. Same backend as Urbania, so many listings are cross-posted — handled by de-duplication (shared posting ids).</t>
        </is>
      </c>
    </row>
    <row r="7">
      <c r="A7" s="8" t="inlineStr">
        <is>
          <t>Mercado Libre Inmuebles Perú</t>
        </is>
      </c>
      <c r="B7" s="5" t="inlineStr">
        <is>
          <t>NOT RUN</t>
        </is>
      </c>
      <c r="C7" s="8" t="inlineStr">
        <is>
          <t>Direct HTML (own parser, robots.txt respected, ≥2.5 s between requests). Reference repo GadielRP/mercadolibre-real-estate-scraper audited and NOT reused.</t>
        </is>
      </c>
      <c r="D7" s="8" t="inlineStr">
        <is>
          <t>https://inmuebles.mercadolibre.com.pe/departamentos/alquiler/lima/miraflores/</t>
        </is>
      </c>
      <c r="E7" s="5" t="n">
        <v>0</v>
      </c>
      <c r="F7" s="8" t="inlineStr">
        <is>
          <t>Public search and detail pages; phone numbers require login (not collected)</t>
        </is>
      </c>
      <c r="G7" s="8" t="inlineStr">
        <is>
          <t>_Desde_N offsets (48/page)</t>
        </is>
      </c>
      <c r="H7" s="8" t="inlineStr">
        <is>
          <t>Yes — specs table, description, map centre</t>
        </is>
      </c>
      <c r="I7" s="8" t="inlineStr">
        <is>
          <t>Seller name only; contact through Mercado Libre</t>
        </is>
      </c>
      <c r="J7" s="8" t="inlineStr">
        <is>
          <t>Sometimes (map on detail page)</t>
        </is>
      </c>
      <c r="K7" s="8" t="inlineStr">
        <is>
          <t>Relative 'Publicado hace…' on detail page</t>
        </is>
      </c>
      <c r="L7" s="8" t="inlineStr">
        <is>
          <t>Sometimes (spec 'Mantenimiento' / 'Gastos comunes')</t>
        </is>
      </c>
      <c r="M7" s="8" t="inlineStr">
        <is>
          <t>not measured (no records)</t>
        </is>
      </c>
      <c r="N7" s="8" t="inlineStr">
        <is>
          <t>not run | Page layout changes periodically; parser supports current poly-card and legacy layouts. Reference repo rejected: no licence ('Private'), targets Mexico (MLM), relies on webdriver masking, UA rotation and residential proxy rotation.</t>
        </is>
      </c>
    </row>
    <row r="8">
      <c r="A8" s="8" t="inlineStr">
        <is>
          <t>Manual import (agency sites, other portals)</t>
        </is>
      </c>
      <c r="B8" s="5" t="inlineStr">
        <is>
          <t>NOT RUN</t>
        </is>
      </c>
      <c r="C8" s="8" t="inlineStr">
        <is>
          <t>CSV/JSON import (config/manual_import_template.csv)</t>
        </is>
      </c>
      <c r="D8" s="5" t="inlineStr">
        <is>
          <t>n/a</t>
        </is>
      </c>
      <c r="E8" s="5" t="n">
        <v>0</v>
      </c>
      <c r="F8" s="5" t="inlineStr">
        <is>
          <t>n/a</t>
        </is>
      </c>
      <c r="G8" s="5" t="inlineStr">
        <is>
          <t>n/a</t>
        </is>
      </c>
      <c r="H8" s="5" t="inlineStr">
        <is>
          <t>n/a</t>
        </is>
      </c>
      <c r="I8" s="5" t="inlineStr">
        <is>
          <t>as entered</t>
        </is>
      </c>
      <c r="J8" s="5" t="inlineStr">
        <is>
          <t>as entered</t>
        </is>
      </c>
      <c r="K8" s="5" t="inlineStr">
        <is>
          <t>as entered</t>
        </is>
      </c>
      <c r="L8" s="5" t="inlineStr">
        <is>
          <t>as entered</t>
        </is>
      </c>
      <c r="M8" s="8" t="inlineStr">
        <is>
          <t>not measured (no records)</t>
        </is>
      </c>
      <c r="N8" s="8" t="inlineStr">
        <is>
          <t>not run | Only as good as the manual capture; active status UNKNOWN unless re-checked.</t>
        </is>
      </c>
    </row>
    <row r="9">
      <c r="A9" s="5" t="inlineStr">
        <is>
          <t>Properati Perú</t>
        </is>
      </c>
      <c r="B9" s="8" t="inlineStr">
        <is>
          <t>PENDING (not automated this iteration)</t>
        </is>
      </c>
      <c r="C9" s="8" t="inlineStr">
        <is>
          <t>not automated — use manual import</t>
        </is>
      </c>
      <c r="D9" s="8" t="inlineStr">
        <is>
          <t>https://www.properati.com.pe/s/miraflores/departamento/alquiler</t>
        </is>
      </c>
      <c r="E9" s="5" t="n">
        <v>0</v>
      </c>
      <c r="F9" s="8" t="inlineStr">
        <is>
          <t>public (search index)</t>
        </is>
      </c>
      <c r="G9" s="5" t="inlineStr">
        <is>
          <t>not tested</t>
        </is>
      </c>
      <c r="H9" s="5" t="inlineStr">
        <is>
          <t>not tested</t>
        </is>
      </c>
      <c r="I9" s="5" t="inlineStr">
        <is>
          <t>not tested</t>
        </is>
      </c>
      <c r="J9" s="5" t="inlineStr">
        <is>
          <t>not tested</t>
        </is>
      </c>
      <c r="K9" s="5" t="inlineStr">
        <is>
          <t>not tested</t>
        </is>
      </c>
      <c r="L9" s="5" t="inlineStr">
        <is>
          <t>not tested</t>
        </is>
      </c>
      <c r="M9" s="5" t="inlineStr">
        <is>
          <t>not measured</t>
        </is>
      </c>
      <c r="N9" s="8" t="inlineStr">
        <is>
          <t>Search index: 294 Miraflores rentals; 75 furnished; 137 with 2 bedrooms | could not be opened from this environment (egress policy); verify before relying on it</t>
        </is>
      </c>
    </row>
    <row r="10">
      <c r="A10" s="5" t="inlineStr">
        <is>
          <t>FazWaz Perú</t>
        </is>
      </c>
      <c r="B10" s="8" t="inlineStr">
        <is>
          <t>PENDING (not automated this iteration)</t>
        </is>
      </c>
      <c r="C10" s="8" t="inlineStr">
        <is>
          <t>not automated — use manual import</t>
        </is>
      </c>
      <c r="D10" s="8" t="inlineStr">
        <is>
          <t>https://www.fazwaz.com.pe/departamento-en-alquiler/peru/lima/lima/miraflores</t>
        </is>
      </c>
      <c r="E10" s="5" t="n">
        <v>0</v>
      </c>
      <c r="F10" s="8" t="inlineStr">
        <is>
          <t>public (search index)</t>
        </is>
      </c>
      <c r="G10" s="5" t="inlineStr">
        <is>
          <t>not tested</t>
        </is>
      </c>
      <c r="H10" s="5" t="inlineStr">
        <is>
          <t>not tested</t>
        </is>
      </c>
      <c r="I10" s="5" t="inlineStr">
        <is>
          <t>not tested</t>
        </is>
      </c>
      <c r="J10" s="5" t="inlineStr">
        <is>
          <t>not tested</t>
        </is>
      </c>
      <c r="K10" s="5" t="inlineStr">
        <is>
          <t>not tested</t>
        </is>
      </c>
      <c r="L10" s="5" t="inlineStr">
        <is>
          <t>not tested</t>
        </is>
      </c>
      <c r="M10" s="5" t="inlineStr">
        <is>
          <t>not measured</t>
        </is>
      </c>
      <c r="N10" s="8" t="inlineStr">
        <is>
          <t>Search index: 437 rental listings in Miraflores; English-friendly (relevant for foreign tenants) | could not be opened from this environment (egress policy); verify before relying on it</t>
        </is>
      </c>
    </row>
    <row r="11">
      <c r="A11" s="5" t="inlineStr">
        <is>
          <t>Ubicasa</t>
        </is>
      </c>
      <c r="B11" s="8" t="inlineStr">
        <is>
          <t>PENDING (not automated this iteration)</t>
        </is>
      </c>
      <c r="C11" s="8" t="inlineStr">
        <is>
          <t>not automated — use manual import</t>
        </is>
      </c>
      <c r="D11" s="8" t="inlineStr">
        <is>
          <t>https://ubicasa.pe/alquiler/departamento/miraflores-lima-lima</t>
        </is>
      </c>
      <c r="E11" s="5" t="n">
        <v>0</v>
      </c>
      <c r="F11" s="8" t="inlineStr">
        <is>
          <t>public (search index)</t>
        </is>
      </c>
      <c r="G11" s="5" t="inlineStr">
        <is>
          <t>not tested</t>
        </is>
      </c>
      <c r="H11" s="5" t="inlineStr">
        <is>
          <t>not tested</t>
        </is>
      </c>
      <c r="I11" s="5" t="inlineStr">
        <is>
          <t>not tested</t>
        </is>
      </c>
      <c r="J11" s="5" t="inlineStr">
        <is>
          <t>not tested</t>
        </is>
      </c>
      <c r="K11" s="5" t="inlineStr">
        <is>
          <t>not tested</t>
        </is>
      </c>
      <c r="L11" s="5" t="inlineStr">
        <is>
          <t>not tested</t>
        </is>
      </c>
      <c r="M11" s="5" t="inlineStr">
        <is>
          <t>not measured</t>
        </is>
      </c>
      <c r="N11" s="8" t="inlineStr">
        <is>
          <t>Search index: 651 apartments; advertises exact map location and PEN/USD prices | could not be opened from this environment (egress policy); verify before relying on it</t>
        </is>
      </c>
    </row>
    <row r="12">
      <c r="A12" s="5" t="inlineStr">
        <is>
          <t>LaEncontre</t>
        </is>
      </c>
      <c r="B12" s="8" t="inlineStr">
        <is>
          <t>PENDING (not automated this iteration)</t>
        </is>
      </c>
      <c r="C12" s="8" t="inlineStr">
        <is>
          <t>not automated — use manual import</t>
        </is>
      </c>
      <c r="D12" s="8" t="inlineStr">
        <is>
          <t>https://www.laencontre.com.pe/alquiler/departamentos/lima/miraflores</t>
        </is>
      </c>
      <c r="E12" s="5" t="n">
        <v>0</v>
      </c>
      <c r="F12" s="8" t="inlineStr">
        <is>
          <t>public (search index)</t>
        </is>
      </c>
      <c r="G12" s="5" t="inlineStr">
        <is>
          <t>not tested</t>
        </is>
      </c>
      <c r="H12" s="5" t="inlineStr">
        <is>
          <t>not tested</t>
        </is>
      </c>
      <c r="I12" s="5" t="inlineStr">
        <is>
          <t>not tested</t>
        </is>
      </c>
      <c r="J12" s="5" t="inlineStr">
        <is>
          <t>not tested</t>
        </is>
      </c>
      <c r="K12" s="5" t="inlineStr">
        <is>
          <t>not tested</t>
        </is>
      </c>
      <c r="L12" s="5" t="inlineStr">
        <is>
          <t>not tested</t>
        </is>
      </c>
      <c r="M12" s="5" t="inlineStr">
        <is>
          <t>not measured</t>
        </is>
      </c>
      <c r="N12" s="8" t="inlineStr">
        <is>
          <t>Search index: 293 apartments in Miraflores | could not be opened from this environment (egress policy); verify before relying on it</t>
        </is>
      </c>
    </row>
    <row r="13">
      <c r="A13" s="5" t="inlineStr">
        <is>
          <t>Babilonia</t>
        </is>
      </c>
      <c r="B13" s="8" t="inlineStr">
        <is>
          <t>PENDING (not automated this iteration)</t>
        </is>
      </c>
      <c r="C13" s="8" t="inlineStr">
        <is>
          <t>not automated — use manual import</t>
        </is>
      </c>
      <c r="D13" s="8" t="inlineStr">
        <is>
          <t>https://babilonia.pe/inmuebles/departamentos-en-alquiler-en-lima-lima-miraflores</t>
        </is>
      </c>
      <c r="E13" s="5" t="n">
        <v>0</v>
      </c>
      <c r="F13" s="8" t="inlineStr">
        <is>
          <t>public (search index)</t>
        </is>
      </c>
      <c r="G13" s="5" t="inlineStr">
        <is>
          <t>not tested</t>
        </is>
      </c>
      <c r="H13" s="5" t="inlineStr">
        <is>
          <t>not tested</t>
        </is>
      </c>
      <c r="I13" s="5" t="inlineStr">
        <is>
          <t>not tested</t>
        </is>
      </c>
      <c r="J13" s="5" t="inlineStr">
        <is>
          <t>not tested</t>
        </is>
      </c>
      <c r="K13" s="5" t="inlineStr">
        <is>
          <t>not tested</t>
        </is>
      </c>
      <c r="L13" s="5" t="inlineStr">
        <is>
          <t>not tested</t>
        </is>
      </c>
      <c r="M13" s="5" t="inlineStr">
        <is>
          <t>not measured</t>
        </is>
      </c>
      <c r="N13" s="8" t="inlineStr">
        <is>
          <t>Peruvian portal; count not visible in index | could not be opened from this environment (egress policy); verify before relying on it</t>
        </is>
      </c>
    </row>
    <row r="14">
      <c r="A14" s="5" t="inlineStr">
        <is>
          <t>InfoCasas Perú</t>
        </is>
      </c>
      <c r="B14" s="8" t="inlineStr">
        <is>
          <t>PENDING (not automated this iteration)</t>
        </is>
      </c>
      <c r="C14" s="8" t="inlineStr">
        <is>
          <t>not automated — use manual import</t>
        </is>
      </c>
      <c r="D14" s="8" t="inlineStr">
        <is>
          <t>https://www.infocasas.com.pe/alquiler/departamentos/lima/miraflores/1-dormitorio</t>
        </is>
      </c>
      <c r="E14" s="5" t="n">
        <v>0</v>
      </c>
      <c r="F14" s="8" t="inlineStr">
        <is>
          <t>public (search index)</t>
        </is>
      </c>
      <c r="G14" s="5" t="inlineStr">
        <is>
          <t>not tested</t>
        </is>
      </c>
      <c r="H14" s="5" t="inlineStr">
        <is>
          <t>not tested</t>
        </is>
      </c>
      <c r="I14" s="5" t="inlineStr">
        <is>
          <t>not tested</t>
        </is>
      </c>
      <c r="J14" s="5" t="inlineStr">
        <is>
          <t>not tested</t>
        </is>
      </c>
      <c r="K14" s="5" t="inlineStr">
        <is>
          <t>not tested</t>
        </is>
      </c>
      <c r="L14" s="5" t="inlineStr">
        <is>
          <t>not tested</t>
        </is>
      </c>
      <c r="M14" s="5" t="inlineStr">
        <is>
          <t>not measured</t>
        </is>
      </c>
      <c r="N14" s="8" t="inlineStr">
        <is>
          <t>Has 1-bedroom Miraflores filter page | could not be opened from this environment (egress policy); verify before relying on it</t>
        </is>
      </c>
    </row>
    <row r="15">
      <c r="A15" s="5" t="inlineStr">
        <is>
          <t>RE/MAX Perú</t>
        </is>
      </c>
      <c r="B15" s="8" t="inlineStr">
        <is>
          <t>PENDING (not automated this iteration)</t>
        </is>
      </c>
      <c r="C15" s="8" t="inlineStr">
        <is>
          <t>not automated — use manual import</t>
        </is>
      </c>
      <c r="D15" s="8" t="inlineStr">
        <is>
          <t>https://www.remax.pe/departamentos-en+alquiler-miraflores-dist/</t>
        </is>
      </c>
      <c r="E15" s="5" t="n">
        <v>0</v>
      </c>
      <c r="F15" s="8" t="inlineStr">
        <is>
          <t>public (search index)</t>
        </is>
      </c>
      <c r="G15" s="5" t="inlineStr">
        <is>
          <t>not tested</t>
        </is>
      </c>
      <c r="H15" s="5" t="inlineStr">
        <is>
          <t>not tested</t>
        </is>
      </c>
      <c r="I15" s="5" t="inlineStr">
        <is>
          <t>not tested</t>
        </is>
      </c>
      <c r="J15" s="5" t="inlineStr">
        <is>
          <t>not tested</t>
        </is>
      </c>
      <c r="K15" s="5" t="inlineStr">
        <is>
          <t>not tested</t>
        </is>
      </c>
      <c r="L15" s="5" t="inlineStr">
        <is>
          <t>not tested</t>
        </is>
      </c>
      <c r="M15" s="5" t="inlineStr">
        <is>
          <t>not measured</t>
        </is>
      </c>
      <c r="N15" s="8" t="inlineStr">
        <is>
          <t>Agency network listings; often cross-posted to Urbania/Adondevivir | could not be opened from this environment (egress policy); verify before relying on it</t>
        </is>
      </c>
    </row>
    <row r="16">
      <c r="A16" s="5" t="inlineStr">
        <is>
          <t>Mitula Casas</t>
        </is>
      </c>
      <c r="B16" s="8" t="inlineStr">
        <is>
          <t>PENDING (not automated this iteration)</t>
        </is>
      </c>
      <c r="C16" s="8" t="inlineStr">
        <is>
          <t>not automated — use manual import</t>
        </is>
      </c>
      <c r="D16" s="8" t="inlineStr">
        <is>
          <t>https://casas.mitula.pe/casas/alquiler-departamentos-lima-miraflores</t>
        </is>
      </c>
      <c r="E16" s="5" t="n">
        <v>0</v>
      </c>
      <c r="F16" s="8" t="inlineStr">
        <is>
          <t>public (search index)</t>
        </is>
      </c>
      <c r="G16" s="5" t="inlineStr">
        <is>
          <t>not tested</t>
        </is>
      </c>
      <c r="H16" s="5" t="inlineStr">
        <is>
          <t>not tested</t>
        </is>
      </c>
      <c r="I16" s="5" t="inlineStr">
        <is>
          <t>not tested</t>
        </is>
      </c>
      <c r="J16" s="5" t="inlineStr">
        <is>
          <t>not tested</t>
        </is>
      </c>
      <c r="K16" s="5" t="inlineStr">
        <is>
          <t>not tested</t>
        </is>
      </c>
      <c r="L16" s="5" t="inlineStr">
        <is>
          <t>not tested</t>
        </is>
      </c>
      <c r="M16" s="5" t="inlineStr">
        <is>
          <t>not measured</t>
        </is>
      </c>
      <c r="N16" s="8" t="inlineStr">
        <is>
          <t>Aggregator of other portals — mostly duplicates; low marginal value | could not be opened from this environment (egress policy); verify before relying on it</t>
        </is>
      </c>
    </row>
  </sheetData>
  <autoFilter ref="A4:N16"/>
  <conditionalFormatting sqref="A5:N16">
    <cfRule type="cellIs" priority="1" operator="equal" dxfId="0">
      <formula>"UNKNOWN"</formula>
    </cfRule>
    <cfRule type="expression" priority="2" dxfId="2">
      <formula>MOD(ROW(),2)=0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28" customWidth="1" min="1" max="1"/>
    <col width="120" customWidth="1" min="2" max="2"/>
  </cols>
  <sheetData>
    <row r="1">
      <c r="A1" s="1" t="inlineStr">
        <is>
          <t>Methodology, scoring and limitations</t>
        </is>
      </c>
    </row>
    <row r="2">
      <c r="A2" s="2" t="inlineStr">
        <is>
          <t>Generated 2026-09-24T17:45:06-05:00 · FX 1 USD = S/ 3.385 (fallback)</t>
        </is>
      </c>
    </row>
    <row r="3">
      <c r="A3" s="3" t="inlineStr">
        <is>
          <t>SYNTHETIC DEMO DATA — FORMAT PREVIEW ONLY — THESE ARE NOT REAL LISTINGS</t>
        </is>
      </c>
    </row>
    <row r="5">
      <c r="A5" s="13" t="inlineStr">
        <is>
          <t>Objective</t>
        </is>
      </c>
      <c r="B5" s="8" t="inlineStr">
        <is>
          <t>Find the strongest currently advertised 1–2 bedroom rentals inside Miraflores (Lima) for a couple, at or below USD 1,000/month, prioritising quiet and usable space.</t>
        </is>
      </c>
    </row>
    <row r="6">
      <c r="A6" s="13" t="inlineStr">
        <is>
          <t>Hard requirements</t>
        </is>
      </c>
      <c r="B6" s="8" t="inlineStr">
        <is>
          <t>Miraflores only · rent (not sale) · apartment · 1–2 bedrooms (studios excluded unless the listing classifies the unit as 1 bedroom) · base rent ≤ USD 1,000. A high score never overrides a hard requirement.</t>
        </is>
      </c>
    </row>
    <row r="7">
      <c r="A7" s="13" t="inlineStr">
        <is>
          <t>Stretch / near misses</t>
        </is>
      </c>
      <c r="B7" s="8" t="inlineStr">
        <is>
          <t>Rent USD 1,001–1,100 → STRETCH_NEGOTIABLE only. Outside Miraflores → NEAR_MISSES only if within 300 m of the boundary, budget-compliant and fit ≥ 70.</t>
        </is>
      </c>
    </row>
    <row r="8">
      <c r="A8" s="13" t="inlineStr">
        <is>
          <t>Run</t>
        </is>
      </c>
      <c r="B8" s="8" t="inlineStr">
        <is>
          <t>Generated 2026-09-24T17:45:06-05:00. Listings collected: 41; unique after de-duplication: 40; budget-compliant matches: 26; stretch: 9; near misses: 1. External cost: USD 0.00.</t>
        </is>
      </c>
    </row>
    <row r="9">
      <c r="A9" s="13" t="inlineStr">
        <is>
          <t>Exchange rate</t>
        </is>
      </c>
      <c r="B9" s="8" t="inlineStr">
        <is>
          <t>1 USD = S/ 3.385 · SYNTHETIC DEMO RATE (same value as documented fallback) · 2026-09-24T17:45:06-05:00. Used for every conversion. Values published by the listing are marked PUBLISHED; converted values CALCULATED. When a listing publishes both currencies, both are kept as published.</t>
        </is>
      </c>
    </row>
    <row r="10">
      <c r="A10" s="13" t="inlineStr">
        <is>
          <t>Fit score (100)</t>
        </is>
      </c>
      <c r="B10" s="8" t="inlineStr">
        <is>
          <t>Quietness 25 · Budget/total cost 20 · Space/layout 20 · Location/daily livability 10 · Furnishing 8 · Building/security/amenities 7 · Listing quality/freshness 10.</t>
        </is>
      </c>
    </row>
    <row r="11">
      <c r="A11" s="13" t="inlineStr">
        <is>
          <t>Budget points</t>
        </is>
      </c>
      <c r="B11" s="8" t="inlineStr">
        <is>
          <t>Full points need a known total (rent + maintenance) ≤ USD 1,000; lower totals score higher. Unknown maintenance is scored on rent only and capped below a known total, and flagged.</t>
        </is>
      </c>
    </row>
    <row r="12">
      <c r="A12" s="13" t="inlineStr">
        <is>
          <t>Space points</t>
        </is>
      </c>
      <c r="B12" s="8" t="inlineStr">
        <is>
          <t>Area bands per bedroom count (1BR: &lt;40 small, 40–49 acceptable, 50–59 good, ≥60 very spacious; 2BR: &lt;55, 55–69, 70–84, ≥85). Built (techada) area preferred over total area. Bonuses: 2nd bathroom, balcony/terrace, study, laundry, walk-in closet.</t>
        </is>
      </c>
    </row>
    <row r="13">
      <c r="A13" s="13" t="inlineStr">
        <is>
          <t>Noise model</t>
        </is>
      </c>
      <c r="B13" s="8" t="inlineStr">
        <is>
          <t>Baseline 72. Major road (OSM motorway/trunk/primary) ≤50 m −30, ≤150 m −15, ≤300 m −6; secondary arterial ≤30 m −14; nightclub ≤150 m −25, ≤300 m −12; ≥3 bars within 150 m −12; interior-facing +10; acoustic windows +12; avenue view -12; floor ≥8 +3. LOW risk ≥70, MEDIUM ≥50, else HIGH. Confidence HIGH needs exact coordinates + stated orientation; LOW when location is approximate or missing (then the score is shrunk toward neutral). It is an estimate — confirm in person.</t>
        </is>
      </c>
    </row>
    <row r="14">
      <c r="A14" s="13" t="inlineStr">
        <is>
          <t>Change vs brief</t>
        </is>
      </c>
      <c r="B14" s="8" t="inlineStr">
        <is>
          <t>Added a secondary-arterial tier and restaurant-cluster penalty (busy frontage), and confidence shrinkage when coordinates are missing. Near misses additionally require proximity to the boundary. Portal price filter set to USD 1,150 (not 1,000) so the stretch band and PEN-priced listings are not lost; every record is re-validated. Ranking rule: units with HIGH estimated noise (medium/high confidence) are ranked after all LOW/MEDIUM units, because quiet is the first priority.</t>
        </is>
      </c>
    </row>
    <row r="15">
      <c r="A15" s="13" t="inlineStr">
        <is>
          <t>Livability</t>
        </is>
      </c>
      <c r="B15" s="8" t="inlineStr">
        <is>
          <t>Distance to supermarket (≤500 m), pharmacy (≤400 m), park (≤300 m), café (≤300 m), bus/Metropolitano stop (≤400 m), Malecón (≤900 m); half credit up to 1.6× those distances. Nightlife is never rewarded.</t>
        </is>
      </c>
    </row>
    <row r="16">
      <c r="A16" s="13" t="inlineStr">
        <is>
          <t>Value bands</t>
        </is>
      </c>
      <c r="B16" s="8" t="inlineStr">
        <is>
          <t>USD per m² within the same bedroom count, relative to this sample only: lowest quartile EXCELLENT_VALUE, then GOOD, FAIR, EXPENSIVE_RELATIVE_TO_SAMPLE. Not an official valuation.</t>
        </is>
      </c>
    </row>
    <row r="17">
      <c r="A17" s="13" t="inlineStr">
        <is>
          <t>De-duplication</t>
        </is>
      </c>
      <c r="B17" s="8" t="inlineStr">
        <is>
          <t>Pairs scored on URL, portal id (Urbania/Adondevivir share posting ids), coordinates, area, price, phone, fuzzy title and description (rapidfuzz), normalised address and shared photo ids. Groups keep every source URL; the most complete record is canonical; conflicts are flagged.</t>
        </is>
      </c>
    </row>
    <row r="18">
      <c r="A18" s="13" t="inlineStr">
        <is>
          <t>Availability</t>
        </is>
      </c>
      <c r="B18" s="8" t="inlineStr">
        <is>
          <t>LIKELY_ACTIVE = returned by a live search at scrape time. ACTIVE_CONFIRMED = source page re-opened successfully during QA. Never stated as guaranteed.</t>
        </is>
      </c>
    </row>
    <row r="19">
      <c r="A19" s="13" t="inlineStr">
        <is>
          <t>Unknown values</t>
        </is>
      </c>
      <c r="B19" s="8" t="inlineStr">
        <is>
          <t>Shown as UNKNOWN. Nothing is imputed. Maintenance read from description text is used only when the portal field is empty and is flagged in the evidence column.</t>
        </is>
      </c>
    </row>
    <row r="20">
      <c r="A20" s="13" t="inlineStr">
        <is>
          <t>Data sources</t>
        </is>
      </c>
      <c r="B20" s="8" t="inlineStr">
        <is>
          <t>Portals via Apify actors or polite direct requests (robots.txt, ≥2 s spacing, no login, no CAPTCHA solving). Map data © OpenStreetMap contributors (ODbL) via Overpass.</t>
        </is>
      </c>
    </row>
    <row r="21">
      <c r="A21" s="13" t="inlineStr">
        <is>
          <t>Limitations</t>
        </is>
      </c>
      <c r="B21" s="8" t="inlineStr">
        <is>
          <t>Advertiser-reported data; approximate portal locations; OSM may miss venues; the noise model cannot see building insulation or neighbours; availability changes daily.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zoomScale="100" workbookViewId="0">
      <selection pane="bottomLeft" activeCell="A1" sqref="A1"/>
    </sheetView>
  </sheetViews>
  <sheetFormatPr baseColWidth="8" defaultRowHeight="15"/>
  <cols>
    <col width="10" customWidth="1" min="1" max="1"/>
    <col width="34" customWidth="1" min="2" max="2"/>
    <col width="36" customWidth="1" min="3" max="3"/>
    <col width="12" customWidth="1" min="4" max="4"/>
    <col width="30" customWidth="1" min="5" max="5"/>
    <col width="60" customWidth="1" min="6" max="6"/>
  </cols>
  <sheetData>
    <row r="1">
      <c r="A1" s="1" t="inlineStr">
        <is>
          <t>Contact guide — nothing has been sent; contact is left to you</t>
        </is>
      </c>
    </row>
    <row r="2">
      <c r="A2" s="2" t="inlineStr">
        <is>
          <t>Generated 2026-09-24T17:45:06-05:00 · FX 1 USD = S/ 3.385 (fallback)</t>
        </is>
      </c>
    </row>
    <row r="3">
      <c r="A3" s="3" t="inlineStr">
        <is>
          <t>SYNTHETIC DEMO DATA — FORMAT PREVIEW ONLY — THESE ARE NOT REAL LISTINGS</t>
        </is>
      </c>
    </row>
    <row r="5" ht="250" customHeight="1">
      <c r="A5" s="14" t="inlineStr">
        <is>
          <t>English</t>
        </is>
      </c>
      <c r="B5" s="15" t="inlineStr">
        <is>
          <t>Hello, I found your listing for the apartment in Miraflores: [LISTING LINK]
My partner and I are interested and would be grateful if you could confirm:
1. Is the apartment still available?
2. What is the final monthly rent?
3. What is the monthly maintenance fee?
4. Which utilities are included (water, electricity, gas, internet)?
5. Is internet included?
6. What is the minimum lease term?
7. How many months of deposit (and advance) are required?
8. Is it fully furnished? Could you share an inventory?
9. Do the bedroom and living room face the street or the interior of the building? Is there traffic or nightlife noise?
10. What documents do you require from a foreign tenant?
11. When could we visit? Ideally we would see it once on a weekday evening.
Thank you very much. Kind regards,
[YOUR NAME] · [PHONE]</t>
        </is>
      </c>
    </row>
    <row r="6" ht="250" customHeight="1">
      <c r="A6" s="14" t="inlineStr">
        <is>
          <t>Español</t>
        </is>
      </c>
      <c r="B6" s="15" t="inlineStr">
        <is>
          <t>Hola, vi su anuncio del departamento en Miraflores: [ENLACE DEL ANUNCIO]
Somos una pareja interesada y les agradecería confirmar:
1. ¿El departamento sigue disponible?
2. ¿Cuál es el precio final de alquiler mensual?
3. ¿Cuánto es el mantenimiento mensual?
4. ¿Qué servicios están incluidos (agua, luz, gas, internet)?
5. ¿El internet está incluido?
6. ¿Cuál es el plazo mínimo del contrato?
7. ¿Cuántos meses de garantía (y adelanto) se requieren?
8. ¿Está completamente amoblado? ¿Podrían enviarnos el inventario?
9. ¿El dormitorio y la sala dan a la calle o al interior del edificio? ¿Hay ruido de tráfico o de locales nocturnos?
10. ¿Qué documentos solicitan a un inquilino extranjero?
11. ¿Cuándo podríamos visitarlo? De preferencia, un día de semana por la tarde-noche.
Muchas gracias. Saludos cordiales,
[SU NOMBRE] · [TELÉFONO]</t>
        </is>
      </c>
    </row>
    <row r="8">
      <c r="A8" s="1" t="inlineStr">
        <is>
          <t>Top 10 — who to contact and what to ask</t>
        </is>
      </c>
    </row>
    <row r="9">
      <c r="A9" s="2" t="inlineStr"/>
    </row>
    <row r="11" ht="30" customHeight="1">
      <c r="A11" s="4" t="inlineStr">
        <is>
          <t>Rank</t>
        </is>
      </c>
      <c r="B11" s="4" t="inlineStr">
        <is>
          <t>Property</t>
        </is>
      </c>
      <c r="C11" s="4" t="inlineStr">
        <is>
          <t>Who to contact</t>
        </is>
      </c>
      <c r="D11" s="4" t="inlineStr">
        <is>
          <t>View Listing</t>
        </is>
      </c>
      <c r="E11" s="4" t="inlineStr">
        <is>
          <t>WhatsApp</t>
        </is>
      </c>
      <c r="F11" s="4" t="inlineStr">
        <is>
          <t>Ask specifically</t>
        </is>
      </c>
    </row>
    <row r="12">
      <c r="A12" s="6" t="n">
        <v>1</v>
      </c>
      <c r="B12" s="8" t="inlineStr">
        <is>
          <t>2BR · 72 m² — Calle Ejemplo 109 (DEMO)</t>
        </is>
      </c>
      <c r="C12" s="8" t="inlineStr">
        <is>
          <t>DEMO Inmobiliaria E · Tel. +5110001009</t>
        </is>
      </c>
      <c r="D12" s="10" t="inlineStr">
        <is>
          <t>View listing</t>
        </is>
      </c>
      <c r="E12" s="5" t="inlineStr">
        <is>
          <t>—</t>
        </is>
      </c>
      <c r="F12" s="8" t="inlineStr">
        <is>
          <t>availability and visit times</t>
        </is>
      </c>
    </row>
    <row r="13">
      <c r="A13" s="6" t="n">
        <v>2</v>
      </c>
      <c r="B13" s="8" t="inlineStr">
        <is>
          <t>1BR · 58 m² — Calle Ejemplo 100 (DEMO)</t>
        </is>
      </c>
      <c r="C13" s="8" t="inlineStr">
        <is>
          <t>DEMO Inmobiliaria A · Tel. +5110001000</t>
        </is>
      </c>
      <c r="D13" s="10" t="inlineStr">
        <is>
          <t>View listing</t>
        </is>
      </c>
      <c r="E13" s="5" t="inlineStr">
        <is>
          <t>—</t>
        </is>
      </c>
      <c r="F13" s="8" t="inlineStr">
        <is>
          <t>minimum lease term; deposit months; does the bedroom face the street or the interior?</t>
        </is>
      </c>
    </row>
    <row r="14">
      <c r="A14" s="6" t="n">
        <v>3</v>
      </c>
      <c r="B14" s="8" t="inlineStr">
        <is>
          <t>2BR · 80 m² — Av. Ejemplo 229 (DEMO)</t>
        </is>
      </c>
      <c r="C14" s="8" t="inlineStr">
        <is>
          <t>DEMO Agente G · contact form on Adondevivir</t>
        </is>
      </c>
      <c r="D14" s="10" t="inlineStr">
        <is>
          <t>View listing</t>
        </is>
      </c>
      <c r="E14" s="5" t="inlineStr">
        <is>
          <t>—</t>
        </is>
      </c>
      <c r="F14" s="8" t="inlineStr">
        <is>
          <t>does the bedroom face the street or the interior?</t>
        </is>
      </c>
    </row>
    <row r="15">
      <c r="A15" s="6" t="n">
        <v>4</v>
      </c>
      <c r="B15" s="8" t="inlineStr">
        <is>
          <t>1BR · 63 m² — Av. Ejemplo 222 (DEMO)</t>
        </is>
      </c>
      <c r="C15" s="8" t="inlineStr">
        <is>
          <t>DEMO Agente H · contact form on Urbania</t>
        </is>
      </c>
      <c r="D15" s="10" t="inlineStr">
        <is>
          <t>View listing</t>
        </is>
      </c>
      <c r="E15" s="5" t="inlineStr">
        <is>
          <t>—</t>
        </is>
      </c>
      <c r="F15" s="8" t="inlineStr">
        <is>
          <t>minimum lease term; deposit months; does the bedroom face the street or the interior?</t>
        </is>
      </c>
    </row>
    <row r="16">
      <c r="A16" s="6" t="n">
        <v>5</v>
      </c>
      <c r="B16" s="8" t="inlineStr">
        <is>
          <t>1BR · 61 m² — Calle Ejemplo 130 (DEMO)</t>
        </is>
      </c>
      <c r="C16" s="8" t="inlineStr">
        <is>
          <t>DEMO Inmobiliaria A · Tel. +5110001030</t>
        </is>
      </c>
      <c r="D16" s="10" t="inlineStr">
        <is>
          <t>View listing</t>
        </is>
      </c>
      <c r="E16" s="5" t="inlineStr">
        <is>
          <t>—</t>
        </is>
      </c>
      <c r="F16" s="8" t="inlineStr">
        <is>
          <t>exact maintenance fee; does the bedroom face the street or the interior?; exact address/block</t>
        </is>
      </c>
    </row>
    <row r="17">
      <c r="A17" s="6" t="n">
        <v>6</v>
      </c>
      <c r="B17" s="8" t="inlineStr">
        <is>
          <t>1BR · 38 m² — Av. Ejemplo 210 (DEMO)</t>
        </is>
      </c>
      <c r="C17" s="8" t="inlineStr">
        <is>
          <t>DEMO Agente H · contact form on Urbania</t>
        </is>
      </c>
      <c r="D17" s="10" t="inlineStr">
        <is>
          <t>View listing</t>
        </is>
      </c>
      <c r="E17" s="5" t="inlineStr">
        <is>
          <t>—</t>
        </is>
      </c>
      <c r="F17" s="8" t="inlineStr">
        <is>
          <t>does the bedroom face the street or the interior?; exact address/block</t>
        </is>
      </c>
    </row>
    <row r="18">
      <c r="A18" s="6" t="n">
        <v>7</v>
      </c>
      <c r="B18" s="8" t="inlineStr">
        <is>
          <t>1BR · 43 m² — Calle Ejemplo 112 (DEMO)</t>
        </is>
      </c>
      <c r="C18" s="8" t="inlineStr">
        <is>
          <t>DEMO Inmobiliaria C · Tel. +5110001012</t>
        </is>
      </c>
      <c r="D18" s="10" t="inlineStr">
        <is>
          <t>View listing</t>
        </is>
      </c>
      <c r="E18" s="5" t="inlineStr">
        <is>
          <t>—</t>
        </is>
      </c>
      <c r="F18" s="8" t="inlineStr">
        <is>
          <t>does the bedroom face the street or the interior?; exact address/block</t>
        </is>
      </c>
    </row>
    <row r="19">
      <c r="A19" s="6" t="n">
        <v>8</v>
      </c>
      <c r="B19" s="8" t="inlineStr">
        <is>
          <t>2BR · 92 m² — Calle Ejemplo 103 (DEMO)</t>
        </is>
      </c>
      <c r="C19" s="8" t="inlineStr">
        <is>
          <t>DEMO Inmobiliaria D · Tel. +5110001003</t>
        </is>
      </c>
      <c r="D19" s="10" t="inlineStr">
        <is>
          <t>View listing</t>
        </is>
      </c>
      <c r="E19" s="5" t="inlineStr">
        <is>
          <t>—</t>
        </is>
      </c>
      <c r="F19" s="8" t="inlineStr">
        <is>
          <t>exact maintenance fee; deposit months; does the bedroom face the street or the interior?; exact address/block</t>
        </is>
      </c>
    </row>
    <row r="20">
      <c r="A20" s="6" t="n">
        <v>9</v>
      </c>
      <c r="B20" s="8" t="inlineStr">
        <is>
          <t>2BR · 61 m² — Av. Ejemplo 211 (DEMO)</t>
        </is>
      </c>
      <c r="C20" s="8" t="inlineStr">
        <is>
          <t>DEMO Agente I · contact form on Adondevivir</t>
        </is>
      </c>
      <c r="D20" s="10" t="inlineStr">
        <is>
          <t>View listing</t>
        </is>
      </c>
      <c r="E20" s="5" t="inlineStr">
        <is>
          <t>—</t>
        </is>
      </c>
      <c r="F20" s="5" t="inlineStr">
        <is>
          <t>deposit months</t>
        </is>
      </c>
    </row>
    <row r="21">
      <c r="A21" s="6" t="n">
        <v>10</v>
      </c>
      <c r="B21" s="8" t="inlineStr">
        <is>
          <t>1BR · 47 m² — Calle Ejemplo 127 (DEMO)</t>
        </is>
      </c>
      <c r="C21" s="8" t="inlineStr">
        <is>
          <t>DEMO Inmobiliaria C · Tel. +5110001027</t>
        </is>
      </c>
      <c r="D21" s="10" t="inlineStr">
        <is>
          <t>View listing</t>
        </is>
      </c>
      <c r="E21" s="5" t="inlineStr">
        <is>
          <t>—</t>
        </is>
      </c>
      <c r="F21" s="8" t="inlineStr">
        <is>
          <t>minimum lease term; deposit months; does the bedroom face the street or the interior?</t>
        </is>
      </c>
    </row>
  </sheetData>
  <autoFilter ref="A11:F21"/>
  <mergeCells count="2">
    <mergeCell ref="B6:F6"/>
    <mergeCell ref="B5:F5"/>
  </mergeCells>
  <conditionalFormatting sqref="A12:F21">
    <cfRule type="cellIs" priority="1" operator="equal" dxfId="0">
      <formula>"UNKNOWN"</formula>
    </cfRule>
    <cfRule type="expression" priority="2" dxfId="2">
      <formula>MOD(ROW(),2)=0</formula>
    </cfRule>
  </conditionalFormatting>
  <hyperlinks>
    <hyperlink xmlns:r="http://schemas.openxmlformats.org/officeDocument/2006/relationships" ref="D12" r:id="rId1"/>
    <hyperlink xmlns:r="http://schemas.openxmlformats.org/officeDocument/2006/relationships" ref="D13" r:id="rId2"/>
    <hyperlink xmlns:r="http://schemas.openxmlformats.org/officeDocument/2006/relationships" ref="D14" r:id="rId3"/>
    <hyperlink xmlns:r="http://schemas.openxmlformats.org/officeDocument/2006/relationships" ref="D15"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2026-09-24T22:45:06Z</dcterms:created>
  <dcterms:modified xsi:type="dcterms:W3CDTF">2026-09-24T22:45:06Z</dcterms:modified>
</cp:coreProperties>
</file>