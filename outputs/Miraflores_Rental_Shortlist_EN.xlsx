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_TOP_PICKS" sheetId="1" state="visible" r:id="rId1"/>
    <sheet name="EXECUTIVE_SHORTLIST" sheetId="2" state="visible" r:id="rId2"/>
    <sheet name="ALL_MATCHES" sheetId="3" state="visible" r:id="rId3"/>
    <sheet name="STRETCH_NEGOTIABLE" sheetId="4" state="visible" r:id="rId4"/>
    <sheet name="NEAR_MISSES" sheetId="5" state="visible" r:id="rId5"/>
    <sheet name="SOURCE_AUDIT" sheetId="6" state="visible" r:id="rId6"/>
    <sheet name="METHODOLOGY" sheetId="7" state="visible" r:id="rId7"/>
    <sheet name="CONTACT_GUIDE" sheetId="8" state="visible" r:id="rId8"/>
  </sheets>
  <definedNames>
    <definedName name="_xlnm._FilterDatabase" localSheetId="0" hidden="1">'CLIENT_TOP_PICKS'!$A$4:$N$14</definedName>
    <definedName name="_xlnm._FilterDatabase" localSheetId="1" hidden="1">'EXECUTIVE_SHORTLIST'!$A$4:$AB$27</definedName>
    <definedName name="_xlnm._FilterDatabase" localSheetId="2" hidden="1">'ALL_MATCHES'!$A$4:$BG$27</definedName>
    <definedName name="_xlnm._FilterDatabase" localSheetId="3" hidden="1">'STRETCH_NEGOTIABLE'!$A$4:$BG$6</definedName>
    <definedName name="_xlnm._FilterDatabase" localSheetId="4" hidden="1">'NEAR_MISSES'!$A$4:$BG$5</definedName>
    <definedName name="_xlnm._FilterDatabase" localSheetId="5" hidden="1">'SOURCE_AUDIT'!$A$4:$N$16</definedName>
    <definedName name="_xlnm._FilterDatabase" localSheetId="7" hidden="1">'CONTACT_GUIDE'!$A$11:$F$21</definedName>
  </definedNames>
  <calcPr calcId="124519" fullCalcOnLoad="1"/>
</workbook>
</file>

<file path=xl/styles.xml><?xml version="1.0" encoding="utf-8"?>
<styleSheet xmlns="http://schemas.openxmlformats.org/spreadsheetml/2006/main">
  <numFmts count="4">
    <numFmt numFmtId="164" formatCode="&quot;USD&quot; #,##0"/>
    <numFmt numFmtId="165" formatCode="0.0"/>
    <numFmt numFmtId="166" formatCode="&quot;S/&quot; #,##0"/>
    <numFmt numFmtId="167" formatCode="0.#"/>
  </numFmts>
  <fonts count="11">
    <font>
      <name val="Calibri"/>
      <family val="2"/>
      <color theme="1"/>
      <sz val="11"/>
      <scheme val="minor"/>
    </font>
    <font>
      <name val="Calibri"/>
      <b val="1"/>
      <color rgb="001F3A4D"/>
      <sz val="14"/>
    </font>
    <font>
      <name val="Calibri"/>
      <i val="1"/>
      <color rgb="0052514E"/>
      <sz val="9"/>
    </font>
    <font>
      <name val="Calibri"/>
      <b val="1"/>
      <color rgb="00FFFFFF"/>
      <sz val="10"/>
    </font>
    <font>
      <name val="Calibri"/>
      <color rgb="001B1B1B"/>
      <sz val="10"/>
    </font>
    <font>
      <name val="Calibri"/>
      <b val="1"/>
      <color rgb="000B6B22"/>
      <sz val="10"/>
    </font>
    <font>
      <name val="Calibri"/>
      <b val="1"/>
      <color rgb="004A4944"/>
      <sz val="10"/>
    </font>
    <font>
      <name val="Calibri"/>
      <color rgb="001F5FBF"/>
      <sz val="10"/>
      <u val="single"/>
    </font>
    <font>
      <name val="Calibri"/>
      <b val="1"/>
      <color rgb="002D6B3A"/>
      <sz val="10"/>
    </font>
    <font>
      <name val="Calibri"/>
      <b val="1"/>
      <color rgb="001F3A4D"/>
      <sz val="10"/>
    </font>
    <font>
      <b val="1"/>
      <color rgb="001F3A4D"/>
    </font>
  </fonts>
  <fills count="6">
    <fill>
      <patternFill/>
    </fill>
    <fill>
      <patternFill patternType="gray125"/>
    </fill>
    <fill>
      <patternFill patternType="solid">
        <fgColor rgb="001F3A4D"/>
      </patternFill>
    </fill>
    <fill>
      <patternFill patternType="solid">
        <fgColor rgb="00D8F0DD"/>
      </patternFill>
    </fill>
    <fill>
      <patternFill patternType="solid">
        <fgColor rgb="00ECEBE6"/>
      </patternFill>
    </fill>
    <fill>
      <patternFill patternType="solid">
        <fgColor rgb="00E6F4E8"/>
      </patternFill>
    </fill>
  </fills>
  <borders count="2">
    <border>
      <left/>
      <right/>
      <top/>
      <bottom/>
      <diagonal/>
    </border>
    <border>
      <bottom style="thin">
        <color rgb="00D9DCE1"/>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0" applyAlignment="1" pivotButton="0" quotePrefix="0" xfId="0">
      <alignment vertical="center" wrapText="1"/>
    </xf>
    <xf numFmtId="1" fontId="4" fillId="0" borderId="1" applyAlignment="1" pivotButton="0" quotePrefix="0" xfId="0">
      <alignment vertical="top"/>
    </xf>
    <xf numFmtId="0" fontId="4" fillId="0" borderId="1" applyAlignment="1" pivotButton="0" quotePrefix="0" xfId="0">
      <alignment vertical="top" wrapText="1"/>
    </xf>
    <xf numFmtId="164" fontId="4" fillId="0" borderId="1" applyAlignment="1" pivotButton="0" quotePrefix="0" xfId="0">
      <alignment vertical="top"/>
    </xf>
    <xf numFmtId="164" fontId="5" fillId="3" borderId="1" applyAlignment="1" pivotButton="0" quotePrefix="0" xfId="0">
      <alignment vertical="top" wrapText="1"/>
    </xf>
    <xf numFmtId="0" fontId="6" fillId="4" borderId="1" applyAlignment="1" pivotButton="0" quotePrefix="0" xfId="0">
      <alignment vertical="top" wrapText="1"/>
    </xf>
    <xf numFmtId="0" fontId="7" fillId="0" borderId="1" applyAlignment="1" pivotButton="0" quotePrefix="0" xfId="0">
      <alignment vertical="top"/>
    </xf>
    <xf numFmtId="0" fontId="7" fillId="0" borderId="1" applyAlignment="1" pivotButton="0" quotePrefix="0" xfId="0">
      <alignment vertical="top" wrapText="1"/>
    </xf>
    <xf numFmtId="0" fontId="4" fillId="0" borderId="1" applyAlignment="1" pivotButton="0" quotePrefix="0" xfId="0">
      <alignment vertical="top"/>
    </xf>
    <xf numFmtId="0" fontId="8" fillId="5" borderId="1" applyAlignment="1" pivotButton="0" quotePrefix="0" xfId="0">
      <alignment vertical="top" wrapText="1"/>
    </xf>
    <xf numFmtId="0" fontId="2" fillId="0" borderId="0" pivotButton="0" quotePrefix="0" xfId="0"/>
    <xf numFmtId="165" fontId="4" fillId="0" borderId="1" applyAlignment="1" pivotButton="0" quotePrefix="0" xfId="0">
      <alignment vertical="top"/>
    </xf>
    <xf numFmtId="166" fontId="4" fillId="0" borderId="1" applyAlignment="1" pivotButton="0" quotePrefix="0" xfId="0">
      <alignment vertical="top"/>
    </xf>
    <xf numFmtId="167" fontId="4" fillId="0" borderId="1" applyAlignment="1" pivotButton="0" quotePrefix="0" xfId="0">
      <alignment vertical="top"/>
    </xf>
    <xf numFmtId="0" fontId="9" fillId="0" borderId="1" applyAlignment="1" pivotButton="0" quotePrefix="0" xfId="0">
      <alignment vertical="top" wrapText="1"/>
    </xf>
    <xf numFmtId="0" fontId="1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0">
    <dxf>
      <font>
        <i val="1"/>
        <color rgb="008A8A8A"/>
      </font>
      <fill>
        <patternFill patternType="solid">
          <fgColor rgb="00F1F1EF"/>
        </patternFill>
      </fill>
    </dxf>
    <dxf>
      <fill>
        <patternFill patternType="solid">
          <fgColor rgb="00E3F1E6"/>
        </patternFill>
      </fill>
    </dxf>
    <dxf>
      <fill>
        <patternFill patternType="solid">
          <fgColor rgb="00F6F8FA"/>
        </patternFill>
      </fill>
    </dxf>
    <dxf>
      <font>
        <b val="1"/>
        <color rgb="000B6B22"/>
      </font>
      <fill>
        <patternFill patternType="solid">
          <fgColor rgb="00D8F0DD"/>
        </patternFill>
      </fill>
    </dxf>
    <dxf>
      <font>
        <b val="1"/>
        <color rgb="002D6B3A"/>
      </font>
      <fill>
        <patternFill patternType="solid">
          <fgColor rgb="00E6F4E8"/>
        </patternFill>
      </fill>
    </dxf>
    <dxf>
      <font>
        <b val="1"/>
        <color rgb="004A4944"/>
      </font>
      <fill>
        <patternFill patternType="solid">
          <fgColor rgb="00ECEBE6"/>
        </patternFill>
      </fill>
    </dxf>
    <dxf>
      <font>
        <b val="1"/>
        <color rgb="009B1C13"/>
      </font>
      <fill>
        <patternFill patternType="solid">
          <fgColor rgb="00FBD5D2"/>
        </patternFill>
      </fill>
    </dxf>
    <dxf>
      <font>
        <b val="1"/>
        <color rgb="009A3412"/>
      </font>
      <fill>
        <patternFill patternType="solid">
          <fgColor rgb="00FDE2C8"/>
        </patternFill>
      </fill>
    </dxf>
    <dxf>
      <font>
        <b val="1"/>
        <color rgb="007A5200"/>
      </font>
      <fill>
        <patternFill patternType="solid">
          <fgColor rgb="00FFF1CC"/>
        </patternFill>
      </fill>
    </dxf>
    <dxf>
      <font>
        <b val="1"/>
        <color rgb="000B6B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pipeline</author>
  </authors>
  <commentList>
    <comment ref="C5" authorId="0" shapeId="0">
      <text>
        <t>Published as S/ 2,600. Converted at 1 USD = S/ 3.385 (see METHODOLOGY). The portal also shows USD 770 (+0.2% vs this rate).</t>
      </text>
    </comment>
    <comment ref="E5" authorId="0" shapeId="0">
      <text>
        <t>all-in ≈ USD 855</t>
      </text>
    </comment>
    <comment ref="C6" authorId="0" shapeId="0">
      <text>
        <t>Published as S/ 2,800. Converted at 1 USD = S/ 3.385 (see METHODOLOGY). The portal also shows USD 823 (-0.5% vs this rate).</t>
      </text>
    </comment>
    <comment ref="E6" authorId="0" shapeId="0">
      <text>
        <t>all-in ≈ USD 886</t>
      </text>
    </comment>
    <comment ref="C7" authorId="0" shapeId="0">
      <text>
        <t>Published as S/ 3,060. Converted at 1 USD = S/ 3.385 (see METHODOLOGY). The portal also shows USD 900 (-0.4% vs this rate).</t>
      </text>
    </comment>
    <comment ref="E7" authorId="0" shapeId="0">
      <text>
        <t>all-in ≈ USD 993</t>
      </text>
    </comment>
    <comment ref="C8" authorId="0" shapeId="0">
      <text>
        <t>Published as S/ 2,600. Converted at 1 USD = S/ 3.385 (see METHODOLOGY). The portal also shows USD 775 (+0.9% vs this rate).</t>
      </text>
    </comment>
    <comment ref="E8" authorId="0" shapeId="0">
      <text>
        <t>all-in ≈ USD 827</t>
      </text>
    </comment>
    <comment ref="C9" authorId="0" shapeId="0">
      <text>
        <t>Published as S/ 2,300. Converted at 1 USD = S/ 3.385 (see METHODOLOGY). The portal also shows USD 685 (+0.8% vs this rate).</t>
      </text>
    </comment>
    <comment ref="E9" authorId="0" shapeId="0">
      <text>
        <t>all-in ≈ USD 753</t>
      </text>
    </comment>
    <comment ref="C10" authorId="0" shapeId="0">
      <text>
        <t>Published as S/ 3,000. Converted at 1 USD = S/ 3.385 (see METHODOLOGY). The portal also shows USD 892 (+0.6% vs this rate).</t>
      </text>
    </comment>
    <comment ref="E10" authorId="0" shapeId="0">
      <text>
        <t>all-in ≈ USD 984</t>
      </text>
    </comment>
    <comment ref="C11" authorId="0" shapeId="0">
      <text>
        <t>Published as S/ 2,452. Converted at 1 USD = S/ 3.385 (see METHODOLOGY). The portal also shows USD 730 (+0.8% vs this rate).</t>
      </text>
    </comment>
    <comment ref="E11" authorId="0" shapeId="0">
      <text>
        <t>all-in ≈ USD 798</t>
      </text>
    </comment>
    <comment ref="C12" authorId="0" shapeId="0">
      <text>
        <t>Published as S/ 2,528. Converted at 1 USD = S/ 3.385 (see METHODOLOGY). The portal also shows USD 750 (+0.4% vs this rate).</t>
      </text>
    </comment>
    <comment ref="E12" authorId="0" shapeId="0">
      <text>
        <t>all-in ≈ USD 832</t>
      </text>
    </comment>
    <comment ref="C13" authorId="0" shapeId="0">
      <text>
        <t>Published as S/ 3,000. Converted at 1 USD = S/ 3.385 (see METHODOLOGY). The portal also shows USD 895 (+1.0% vs this rate).</t>
      </text>
    </comment>
    <comment ref="E13" authorId="0" shapeId="0">
      <text>
        <t>all-in ≈ USD 984</t>
      </text>
    </comment>
    <comment ref="C14" authorId="0" shapeId="0">
      <text>
        <t>Published as S/ 2,500. Converted at 1 USD = S/ 3.385 (see METHODOLOGY). The portal also shows USD 750 (+1.6% vs this rate).</t>
      </text>
    </comment>
    <comment ref="E14" authorId="0" shapeId="0">
      <text>
        <t>all-in ≈ USD 815</t>
      </text>
    </comment>
  </commentList>
</comments>
</file>

<file path=xl/comments/comment2.xml><?xml version="1.0" encoding="utf-8"?>
<comments xmlns="http://schemas.openxmlformats.org/spreadsheetml/2006/main">
  <authors>
    <author>pipeline</author>
  </authors>
  <commentList>
    <comment ref="E5" authorId="0" shapeId="0">
      <text>
        <t>Published as S/ 2,600. Converted at 1 USD = S/ 3.385 (see METHODOLOGY). The portal also shows USD 770 (+0.2% vs this rate).</t>
      </text>
    </comment>
    <comment ref="E6" authorId="0" shapeId="0">
      <text>
        <t>Published as S/ 2,800. Converted at 1 USD = S/ 3.385 (see METHODOLOGY). The portal also shows USD 823 (-0.5% vs this rate).</t>
      </text>
    </comment>
    <comment ref="E7" authorId="0" shapeId="0">
      <text>
        <t>Published as S/ 3,060. Converted at 1 USD = S/ 3.385 (see METHODOLOGY). The portal also shows USD 900 (-0.4% vs this rate).</t>
      </text>
    </comment>
    <comment ref="E8" authorId="0" shapeId="0">
      <text>
        <t>Published as S/ 2,600. Converted at 1 USD = S/ 3.385 (see METHODOLOGY). The portal also shows USD 775 (+0.9% vs this rate).</t>
      </text>
    </comment>
    <comment ref="E9" authorId="0" shapeId="0">
      <text>
        <t>Published as S/ 2,300. Converted at 1 USD = S/ 3.385 (see METHODOLOGY). The portal also shows USD 685 (+0.8% vs this rate).</t>
      </text>
    </comment>
    <comment ref="E10" authorId="0" shapeId="0">
      <text>
        <t>Published as S/ 3,000. Converted at 1 USD = S/ 3.385 (see METHODOLOGY). The portal also shows USD 892 (+0.6% vs this rate).</t>
      </text>
    </comment>
    <comment ref="E11" authorId="0" shapeId="0">
      <text>
        <t>Published as S/ 2,452. Converted at 1 USD = S/ 3.385 (see METHODOLOGY). The portal also shows USD 730 (+0.8% vs this rate).</t>
      </text>
    </comment>
    <comment ref="E12" authorId="0" shapeId="0">
      <text>
        <t>Published as S/ 2,528. Converted at 1 USD = S/ 3.385 (see METHODOLOGY). The portal also shows USD 750 (+0.4% vs this rate).</t>
      </text>
    </comment>
    <comment ref="E13" authorId="0" shapeId="0">
      <text>
        <t>Published as S/ 3,000. Converted at 1 USD = S/ 3.385 (see METHODOLOGY). The portal also shows USD 895 (+1.0% vs this rate).</t>
      </text>
    </comment>
    <comment ref="E14" authorId="0" shapeId="0">
      <text>
        <t>Published as S/ 2,500. Converted at 1 USD = S/ 3.385 (see METHODOLOGY). The portal also shows USD 750 (+1.6% vs this rate).</t>
      </text>
    </comment>
    <comment ref="E15" authorId="0" shapeId="0">
      <text>
        <t>Published as S/ 2,890. Converted at 1 USD = S/ 3.385 (see METHODOLOGY). The portal also shows USD 850 (-0.4% vs this rate).</t>
      </text>
    </comment>
    <comment ref="E16" authorId="0" shapeId="0">
      <text>
        <t>Published as S/ 3,370. Converted at 1 USD = S/ 3.385 (see METHODOLOGY). The portal also shows USD 1,000 (+0.4% vs this rate).</t>
      </text>
    </comment>
    <comment ref="E17" authorId="0" shapeId="0">
      <text>
        <t>Published as S/ 3,373. Converted at 1 USD = S/ 3.385 (see METHODOLOGY). The portal also shows USD 1,000 (+0.4% vs this rate).</t>
      </text>
    </comment>
    <comment ref="E18" authorId="0" shapeId="0">
      <text>
        <t>Published as S/ 3,000. Converted at 1 USD = S/ 3.385 (see METHODOLOGY). The portal also shows USD 940 (+6.1% vs this rate).</t>
      </text>
    </comment>
    <comment ref="E19" authorId="0" shapeId="0">
      <text>
        <t>Published as S/ 2,800. Converted at 1 USD = S/ 3.385 (see METHODOLOGY). The portal also shows USD 740 (-10.5% vs this rate).</t>
      </text>
    </comment>
    <comment ref="E20" authorId="0" shapeId="0">
      <text>
        <t>Published as S/ 3,365. Converted at 1 USD = S/ 3.385 (see METHODOLOGY). The portal also shows USD 1,000 (+0.6% vs this rate).</t>
      </text>
    </comment>
    <comment ref="E21" authorId="0" shapeId="0">
      <text>
        <t>Published as S/ 2,200. Converted at 1 USD = S/ 3.385 (see METHODOLOGY). The portal also shows USD 650 (+0.0% vs this rate).</t>
      </text>
    </comment>
    <comment ref="E22" authorId="0" shapeId="0">
      <text>
        <t>Published as S/ 3,110. Converted at 1 USD = S/ 3.385 (see METHODOLOGY). The portal also shows USD 900 (-2.0% vs this rate).</t>
      </text>
    </comment>
    <comment ref="E23" authorId="0" shapeId="0">
      <text>
        <t>Published as S/ 3,360. Converted at 1 USD = S/ 3.385 (see METHODOLOGY). The portal also shows USD 960 (-3.3% vs this rate).</t>
      </text>
    </comment>
    <comment ref="E24" authorId="0" shapeId="0">
      <text>
        <t>Published as S/ 3,300. Converted at 1 USD = S/ 3.385 (see METHODOLOGY). The portal also shows USD 990 (+1.5% vs this rate).</t>
      </text>
    </comment>
    <comment ref="E25" authorId="0" shapeId="0">
      <text>
        <t>Published as S/ 3,033. Converted at 1 USD = S/ 3.385 (see METHODOLOGY). The portal also shows USD 900 (+0.4% vs this rate).</t>
      </text>
    </comment>
    <comment ref="E26" authorId="0" shapeId="0">
      <text>
        <t>Published as S/ 3,182. Converted at 1 USD = S/ 3.385 (see METHODOLOGY). The portal also shows USD 940 (-0.0% vs this rate).</t>
      </text>
    </comment>
    <comment ref="E27" authorId="0" shapeId="0">
      <text>
        <t>Published as S/ 3,380. Converted at 1 USD = S/ 3.385 (see METHODOLOGY). The portal also shows USD 1,000 (+0.1% vs this rate).</t>
      </text>
    </comment>
  </commentList>
</comments>
</file>

<file path=xl/comments/comment3.xml><?xml version="1.0" encoding="utf-8"?>
<comments xmlns="http://schemas.openxmlformats.org/spreadsheetml/2006/main">
  <authors>
    <author>pipeline</author>
  </authors>
  <commentList>
    <comment ref="F5" authorId="0" shapeId="0">
      <text>
        <t>Published as S/ 2,600. Converted at 1 USD = S/ 3.385 (see METHODOLOGY). The portal also shows USD 770 (+0.2% vs this rate).</t>
      </text>
    </comment>
    <comment ref="F6" authorId="0" shapeId="0">
      <text>
        <t>Published as S/ 2,800. Converted at 1 USD = S/ 3.385 (see METHODOLOGY). The portal also shows USD 823 (-0.5% vs this rate).</t>
      </text>
    </comment>
    <comment ref="F7" authorId="0" shapeId="0">
      <text>
        <t>Published as S/ 3,060. Converted at 1 USD = S/ 3.385 (see METHODOLOGY). The portal also shows USD 900 (-0.4% vs this rate).</t>
      </text>
    </comment>
    <comment ref="F8" authorId="0" shapeId="0">
      <text>
        <t>Published as S/ 2,600. Converted at 1 USD = S/ 3.385 (see METHODOLOGY). The portal also shows USD 775 (+0.9% vs this rate).</t>
      </text>
    </comment>
    <comment ref="F9" authorId="0" shapeId="0">
      <text>
        <t>Published as S/ 2,300. Converted at 1 USD = S/ 3.385 (see METHODOLOGY). The portal also shows USD 685 (+0.8% vs this rate).</t>
      </text>
    </comment>
    <comment ref="F10" authorId="0" shapeId="0">
      <text>
        <t>Published as S/ 3,000. Converted at 1 USD = S/ 3.385 (see METHODOLOGY). The portal also shows USD 892 (+0.6% vs this rate).</t>
      </text>
    </comment>
    <comment ref="F11" authorId="0" shapeId="0">
      <text>
        <t>Published as S/ 2,452. Converted at 1 USD = S/ 3.385 (see METHODOLOGY). The portal also shows USD 730 (+0.8% vs this rate).</t>
      </text>
    </comment>
    <comment ref="F12" authorId="0" shapeId="0">
      <text>
        <t>Published as S/ 2,528. Converted at 1 USD = S/ 3.385 (see METHODOLOGY). The portal also shows USD 750 (+0.4% vs this rate).</t>
      </text>
    </comment>
    <comment ref="F13" authorId="0" shapeId="0">
      <text>
        <t>Published as S/ 3,000. Converted at 1 USD = S/ 3.385 (see METHODOLOGY). The portal also shows USD 895 (+1.0% vs this rate).</t>
      </text>
    </comment>
    <comment ref="F14" authorId="0" shapeId="0">
      <text>
        <t>Published as S/ 2,500. Converted at 1 USD = S/ 3.385 (see METHODOLOGY). The portal also shows USD 750 (+1.6% vs this rate).</t>
      </text>
    </comment>
    <comment ref="F15" authorId="0" shapeId="0">
      <text>
        <t>Published as S/ 2,890. Converted at 1 USD = S/ 3.385 (see METHODOLOGY). The portal also shows USD 850 (-0.4% vs this rate).</t>
      </text>
    </comment>
    <comment ref="F16" authorId="0" shapeId="0">
      <text>
        <t>Published as S/ 3,370. Converted at 1 USD = S/ 3.385 (see METHODOLOGY). The portal also shows USD 1,000 (+0.4% vs this rate).</t>
      </text>
    </comment>
    <comment ref="F17" authorId="0" shapeId="0">
      <text>
        <t>Published as S/ 3,373. Converted at 1 USD = S/ 3.385 (see METHODOLOGY). The portal also shows USD 1,000 (+0.4% vs this rate).</t>
      </text>
    </comment>
    <comment ref="F18" authorId="0" shapeId="0">
      <text>
        <t>Published as S/ 3,000. Converted at 1 USD = S/ 3.385 (see METHODOLOGY). The portal also shows USD 940 (+6.1% vs this rate).</t>
      </text>
    </comment>
    <comment ref="F19" authorId="0" shapeId="0">
      <text>
        <t>Published as S/ 2,800. Converted at 1 USD = S/ 3.385 (see METHODOLOGY). The portal also shows USD 740 (-10.5% vs this rate).</t>
      </text>
    </comment>
    <comment ref="F20" authorId="0" shapeId="0">
      <text>
        <t>Published as S/ 3,365. Converted at 1 USD = S/ 3.385 (see METHODOLOGY). The portal also shows USD 1,000 (+0.6% vs this rate).</t>
      </text>
    </comment>
    <comment ref="F21" authorId="0" shapeId="0">
      <text>
        <t>Published as S/ 2,200. Converted at 1 USD = S/ 3.385 (see METHODOLOGY). The portal also shows USD 650 (+0.0% vs this rate).</t>
      </text>
    </comment>
    <comment ref="F22" authorId="0" shapeId="0">
      <text>
        <t>Published as S/ 3,110. Converted at 1 USD = S/ 3.385 (see METHODOLOGY). The portal also shows USD 900 (-2.0% vs this rate).</t>
      </text>
    </comment>
    <comment ref="F23" authorId="0" shapeId="0">
      <text>
        <t>Published as S/ 3,360. Converted at 1 USD = S/ 3.385 (see METHODOLOGY). The portal also shows USD 960 (-3.3% vs this rate).</t>
      </text>
    </comment>
    <comment ref="F24" authorId="0" shapeId="0">
      <text>
        <t>Published as S/ 3,300. Converted at 1 USD = S/ 3.385 (see METHODOLOGY). The portal also shows USD 990 (+1.5% vs this rate).</t>
      </text>
    </comment>
    <comment ref="F25" authorId="0" shapeId="0">
      <text>
        <t>Published as S/ 3,033. Converted at 1 USD = S/ 3.385 (see METHODOLOGY). The portal also shows USD 900 (+0.4% vs this rate).</t>
      </text>
    </comment>
    <comment ref="F26" authorId="0" shapeId="0">
      <text>
        <t>Published as S/ 3,182. Converted at 1 USD = S/ 3.385 (see METHODOLOGY). The portal also shows USD 940 (-0.0% vs this rate).</t>
      </text>
    </comment>
    <comment ref="F27" authorId="0" shapeId="0">
      <text>
        <t>Published as S/ 3,380. Converted at 1 USD = S/ 3.385 (see METHODOLOGY). The portal also shows USD 1,000 (+0.1% vs this rate).</t>
      </text>
    </comment>
  </commentList>
</comments>
</file>

<file path=xl/comments/comment4.xml><?xml version="1.0" encoding="utf-8"?>
<comments xmlns="http://schemas.openxmlformats.org/spreadsheetml/2006/main">
  <authors>
    <author>pipeline</author>
  </authors>
  <commentList>
    <comment ref="F5" authorId="0" shapeId="0">
      <text>
        <t>Published as S/ 3,400. Converted at 1 USD = S/ 3.385 (see METHODOLOGY). The portal also shows USD 1,010 (+0.6% vs this rate).</t>
      </text>
    </comment>
    <comment ref="F6" authorId="0" shapeId="0">
      <text>
        <t>Published as S/ 3,540. Converted at 1 USD = S/ 3.385 (see METHODOLOGY). The portal also shows USD 1,050 (+0.4% vs this rate).</t>
      </text>
    </comment>
  </commentList>
</comments>
</file>

<file path=xl/comments/comment5.xml><?xml version="1.0" encoding="utf-8"?>
<comments xmlns="http://schemas.openxmlformats.org/spreadsheetml/2006/main">
  <authors>
    <author>pipeline</author>
  </authors>
  <commentList>
    <comment ref="F5" authorId="0" shapeId="0">
      <text>
        <t>Published as S/ 3,740. Converted at 1 USD = S/ 3.385 (see METHODOLOGY). The portal also shows USD 1,100 (-0.4% vs this rate).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ondevivir.com/propiedades/clasificado/alclapin-departamento-en-alquiler-en-miraflores-151162497.html?n_src=Listado&amp;n_pills=Ascensor&amp;n_pg=1&amp;n_pos=3" TargetMode="External" Id="rId1" /><Relationship Type="http://schemas.openxmlformats.org/officeDocument/2006/relationships/hyperlink" Target="https://www.adondevivir.com/propiedades/clasificado/alclapin-departamento-en-alquiler-en-miraflores-151162497.html?n_src=Listado&amp;n_pills=Ascensor&amp;n_pg=1&amp;n_pos=3" TargetMode="External" Id="rId2" /><Relationship Type="http://schemas.openxmlformats.org/officeDocument/2006/relationships/hyperlink" Target="https://urbania.pe/inmueble/clasificado/alclapin-alquiler-de-departamento-en-miraflores-lima-1-dormitorio-151122912?n_src=Listado&amp;n_pills=Piscina&amp;n_pg=1&amp;n_pos=9" TargetMode="External" Id="rId3" /><Relationship Type="http://schemas.openxmlformats.org/officeDocument/2006/relationships/hyperlink" Target="https://urbania.pe/inmueble/clasificado/alclapin-alquiler-de-departamento-en-miraflores-lima-1-dormitorio-151122912?n_src=Listado&amp;n_pills=Piscina&amp;n_pg=1&amp;n_pos=9" TargetMode="External" Id="rId4" /><Relationship Type="http://schemas.openxmlformats.org/officeDocument/2006/relationships/hyperlink" Target="https://urbania.pe/inmueble/clasificado/alclapin-alquiler-de-departamento-en-miraflores-lima-1-dormitorio-150746422?n_src=Listado&amp;n_pills=Ascensor&amp;n_pg=1&amp;n_pos=8" TargetMode="External" Id="rId5" /><Relationship Type="http://schemas.openxmlformats.org/officeDocument/2006/relationships/hyperlink" Target="https://urbania.pe/inmueble/clasificado/alclapin-alquiler-de-departamento-en-miraflores-lima-1-dormitorio-150746422?n_src=Listado&amp;n_pills=Ascensor&amp;n_pg=1&amp;n_pos=8" TargetMode="External" Id="rId6" /><Relationship Type="http://schemas.openxmlformats.org/officeDocument/2006/relationships/hyperlink" Target="https://urbania.pe/inmueble/clasificado/alclapin-alquiler-de-departamento-en-san-antonio-miraflores-1-dormitorio-151111723?n_src=Listado&amp;n_pills=Ascensor&amp;n_pg=1&amp;n_pos=6" TargetMode="External" Id="rId7" /><Relationship Type="http://schemas.openxmlformats.org/officeDocument/2006/relationships/hyperlink" Target="https://urbania.pe/inmueble/clasificado/alclapin-alquiler-de-departamento-en-san-antonio-miraflores-1-dormitorio-151111723?n_src=Listado&amp;n_pills=Ascensor&amp;n_pg=1&amp;n_pos=6" TargetMode="External" Id="rId8" /><Relationship Type="http://schemas.openxmlformats.org/officeDocument/2006/relationships/hyperlink" Target="https://urbania.pe/inmueble/clasificado/alclapin-alquiler-de-departamento-en-miraflores-lima-1-dormitorio-151178161?n_src=Listado&amp;n_pills=Parrilla&amp;n_pg=1&amp;n_pos=11" TargetMode="External" Id="rId9" /><Relationship Type="http://schemas.openxmlformats.org/officeDocument/2006/relationships/hyperlink" Target="https://urbania.pe/inmueble/clasificado/alclapin-alquiler-de-departamento-en-miraflores-lima-1-dormitorio-151178161?n_src=Listado&amp;n_pills=Parrilla&amp;n_pg=1&amp;n_pos=11" TargetMode="External" Id="rId10" /><Relationship Type="http://schemas.openxmlformats.org/officeDocument/2006/relationships/hyperlink" Target="https://www.google.com/maps/search/?api=1&amp;query=-12.131336,-77.021967" TargetMode="External" Id="rId11"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12"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13" /><Relationship Type="http://schemas.openxmlformats.org/officeDocument/2006/relationships/hyperlink" Target="https://www.adondevivir.com/propiedades/clasificado/alclapin-loft-45-m-sup2--amoblado-y-equipado-1-dorm-area-146109648.html?n_src=Listado&amp;n_pills=Seguridad&amp;n_pg=1&amp;n_pos=13" TargetMode="External" Id="rId14" /><Relationship Type="http://schemas.openxmlformats.org/officeDocument/2006/relationships/hyperlink" Target="https://www.adondevivir.com/propiedades/clasificado/alclapin-loft-45-m-sup2--amoblado-y-equipado-1-dorm-area-146109648.html?n_src=Listado&amp;n_pills=Seguridad&amp;n_pg=1&amp;n_pos=13" TargetMode="External" Id="rId15"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16"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17" /><Relationship Type="http://schemas.openxmlformats.org/officeDocument/2006/relationships/hyperlink" Target="https://urbania.pe/inmueble/clasificado/alclapin-alquiler-de-departamento-en-miraflores-lima-1-dormitorio-150869056?n_src=Listado&amp;n_pills=Seguridad&amp;n_pg=1&amp;n_pos=12" TargetMode="External" Id="rId18" /><Relationship Type="http://schemas.openxmlformats.org/officeDocument/2006/relationships/hyperlink" Target="https://urbania.pe/inmueble/clasificado/alclapin-alquiler-de-departamento-en-miraflores-lima-1-dormitorio-150869056?n_src=Listado&amp;n_pills=Seguridad&amp;n_pg=1&amp;n_pos=12" TargetMode="External" Id="rId19" /><Relationship Type="http://schemas.openxmlformats.org/officeDocument/2006/relationships/hyperlink" Target="https://urbania.pe/inmueble/clasificado/alclapin-alquiler-de-departamento-en-miraflores-lima-2-dormitorios-151159973?n_src=Listado&amp;n_pills=%C3%81rea+de+lavander%C3%ADa&amp;n_pg=1&amp;n_pos=7" TargetMode="External" Id="rId20" /><Relationship Type="http://schemas.openxmlformats.org/officeDocument/2006/relationships/hyperlink" Target="https://urbania.pe/inmueble/clasificado/alclapin-alquiler-de-departamento-en-miraflores-lima-2-dormitorios-151159973?n_src=Listado&amp;n_pills=%C3%81rea+de+lavander%C3%ADa&amp;n_pg=1&amp;n_pos=7" TargetMode="External" Id="rId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www.adondevivir.com/propiedades/clasificado/alclapin-departamento-en-alquiler-en-miraflores-151162497.html?n_src=Listado&amp;n_pills=Ascensor&amp;n_pg=1&amp;n_pos=3" TargetMode="External" Id="rId1" /><Relationship Type="http://schemas.openxmlformats.org/officeDocument/2006/relationships/hyperlink" Target="https://urbania.pe/inmueble/clasificado/alclapin-alquiler-de-departamento-en-miraflores-lima-1-dormitorio-151122912?n_src=Listado&amp;n_pills=Piscina&amp;n_pg=1&amp;n_pos=9" TargetMode="External" Id="rId2" /><Relationship Type="http://schemas.openxmlformats.org/officeDocument/2006/relationships/hyperlink" Target="https://urbania.pe/inmueble/clasificado/alclapin-alquiler-de-departamento-en-miraflores-lima-1-dormitorio-150746422?n_src=Listado&amp;n_pills=Ascensor&amp;n_pg=1&amp;n_pos=8" TargetMode="External" Id="rId3" /><Relationship Type="http://schemas.openxmlformats.org/officeDocument/2006/relationships/hyperlink" Target="https://urbania.pe/inmueble/clasificado/alclapin-alquiler-de-departamento-en-san-antonio-miraflores-1-dormitorio-151111723?n_src=Listado&amp;n_pills=Ascensor&amp;n_pg=1&amp;n_pos=6" TargetMode="External" Id="rId4" /><Relationship Type="http://schemas.openxmlformats.org/officeDocument/2006/relationships/hyperlink" Target="https://urbania.pe/inmueble/clasificado/alclapin-alquiler-de-departamento-en-miraflores-lima-1-dormitorio-151178161?n_src=Listado&amp;n_pills=Parrilla&amp;n_pg=1&amp;n_pos=11" TargetMode="External" Id="rId5" /><Relationship Type="http://schemas.openxmlformats.org/officeDocument/2006/relationships/hyperlink" Target="https://www.google.com/maps/search/?api=1&amp;query=-12.131336,-77.021967" TargetMode="External" Id="rId6"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7" /><Relationship Type="http://schemas.openxmlformats.org/officeDocument/2006/relationships/hyperlink" Target="https://www.adondevivir.com/propiedades/clasificado/alclapin-loft-45-m-sup2--amoblado-y-equipado-1-dorm-area-146109648.html?n_src=Listado&amp;n_pills=Seguridad&amp;n_pg=1&amp;n_pos=13" TargetMode="External" Id="rId8"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9" /><Relationship Type="http://schemas.openxmlformats.org/officeDocument/2006/relationships/hyperlink" Target="https://urbania.pe/inmueble/clasificado/alclapin-alquiler-de-departamento-en-miraflores-lima-1-dormitorio-150869056?n_src=Listado&amp;n_pills=Seguridad&amp;n_pg=1&amp;n_pos=12" TargetMode="External" Id="rId10" /><Relationship Type="http://schemas.openxmlformats.org/officeDocument/2006/relationships/hyperlink" Target="https://urbania.pe/inmueble/clasificado/alclapin-alquiler-de-departamento-en-miraflores-lima-2-dormitorios-151159973?n_src=Listado&amp;n_pills=%C3%81rea+de+lavander%C3%ADa&amp;n_pg=1&amp;n_pos=7" TargetMode="External" Id="rId11" /><Relationship Type="http://schemas.openxmlformats.org/officeDocument/2006/relationships/hyperlink" Target="https://urbania.pe/inmueble/clasificado/alclapin-alquiler-de-departamento-en-miraflores-lima-2-dormitorios-151011858?n_src=Listado&amp;n_pills=Seguridad&amp;n_pg=1&amp;n_pos=2" TargetMode="External" Id="rId12" /><Relationship Type="http://schemas.openxmlformats.org/officeDocument/2006/relationships/hyperlink" Target="https://urbania.pe/inmueble/clasificado/alclapin-alquiler-de-departamento-en-miraflores-lima-2-dormitorios-150982482?n_src=Listado&amp;n_pills=Amoblado&amp;n_pg=1&amp;n_pos=10" TargetMode="External" Id="rId13" /><Relationship Type="http://schemas.openxmlformats.org/officeDocument/2006/relationships/hyperlink" Target="https://urbania.pe/inmueble/clasificado/alclapin-alquiler-de-departamento-en-miraflores-lima-2-dormitorios-151058338?n_src=Listado&amp;n_pills=Seguridad&amp;n_pg=1&amp;n_pos=9" TargetMode="External" Id="rId14" /><Relationship Type="http://schemas.openxmlformats.org/officeDocument/2006/relationships/hyperlink" Target="https://urbania.pe/inmueble/clasificado/alclapin-alquiler-de-departamento-en-miraflores-lima-1-dormitorio-150518776?n_src=Listado&amp;n_pills=Guardian%C3%ADa%2FSeguridad+privada&amp;n_pg=1&amp;n_pos=13" TargetMode="External" Id="rId15" /><Relationship Type="http://schemas.openxmlformats.org/officeDocument/2006/relationships/hyperlink" Target="https://urbania.pe/inmueble/clasificado/alclapin-alquiler-de-departamento-en-alexander-von-humboldt-miraflores-1-dormitorio-150850058?n_src=Listado&amp;n_pills=Ascensor&amp;n_pg=1&amp;n_pos=10" TargetMode="External" Id="rId16" /><Relationship Type="http://schemas.openxmlformats.org/officeDocument/2006/relationships/hyperlink" Target="https://urbania.pe/inmueble/clasificado/alclapin-alquiler-de-departamento-en-miraflores-lima-2-dormitorios-151047474?n_src=Listado&amp;n_pills=%C3%81rea+de+lavander%C3%ADa&amp;n_pg=1&amp;n_pos=12" TargetMode="External" Id="rId17" /><Relationship Type="http://schemas.openxmlformats.org/officeDocument/2006/relationships/hyperlink" Target="https://urbania.pe/inmueble/clasificado/alclapin-alquiler-de-departamento-en-miraflores-lima-1-dormitorio-150752635?n_src=Listado&amp;n_pills=Gimnasio&amp;n_pg=1&amp;n_pos=4" TargetMode="External" Id="rId18" /><Relationship Type="http://schemas.openxmlformats.org/officeDocument/2006/relationships/hyperlink" Target="https://urbania.pe/inmueble/clasificado/alclapin-alquiler-de-departamento-en-miraflores-lima-2-dormitorios-151167358?n_src=Listado&amp;n_pills=Guardian%C3%ADa%2FSeguridad+privada&amp;n_pg=1&amp;n_pos=8" TargetMode="External" Id="rId19" /><Relationship Type="http://schemas.openxmlformats.org/officeDocument/2006/relationships/hyperlink" Target="https://urbania.pe/inmueble/clasificado/alclapin-alquiler-de-departamento-en-miraflores-lima-2-dormitorios-149641202?n_src=Listado&amp;n_pg=1&amp;n_pos=18" TargetMode="External" Id="rId20" /><Relationship Type="http://schemas.openxmlformats.org/officeDocument/2006/relationships/hyperlink" Target="https://www.google.com/maps/search/?api=1&amp;query=-12.131336,-77.021967" TargetMode="External" Id="rId21" /><Relationship Type="http://schemas.openxmlformats.org/officeDocument/2006/relationships/hyperlink" Target="https://urbania.pe/inmueble/clasificado/alclapin-alquiler-de-departamento-en-miraflores-lima-2-dormitorios-150634895?n_src=Listado&amp;n_pills=Guardian%C3%ADa%2FSeguridad+privada&amp;n_pg=1&amp;n_pos=6" TargetMode="External" Id="rId22" /><Relationship Type="http://schemas.openxmlformats.org/officeDocument/2006/relationships/hyperlink" Target="https://www.adondevivir.com/propiedades/clasificado/alclapin-departamento-de-estreno-de-2-habitaciones-150773832.html?n_src=Listado&amp;n_pills=Piscina&amp;n_pg=1&amp;n_pos=26" TargetMode="External" Id="rId23" /><Relationship Type="http://schemas.openxmlformats.org/officeDocument/2006/relationships/hyperlink" Target="https://www.adondevivir.com/propiedades/clasificado/alclapin-departamento-de-2-habitaciones-con-balcon-y-149904784.html?n_src=Listado&amp;n_pills=Parrilla&amp;n_pg=1&amp;n_pos=22" TargetMode="External" Id="rId24" /><Relationship Type="http://schemas.openxmlformats.org/officeDocument/2006/relationships/hyperlink" Target="https://www.adondevivir.com/propiedades/clasificado/alclapin-departamento-de-1-cuarto-mas-amplio-estudio-sin-151127641.html?n_src=Listado&amp;n_pills=Ascensor&amp;n_pg=1&amp;n_pos=10" TargetMode="External" Id="rId25"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s://www.adondevivir.com/propiedades/clasificado/alclapin-departamento-en-alquiler-en-miraflores-151162497.html?n_src=Listado&amp;n_pills=Ascensor&amp;n_pg=1&amp;n_pos=3" TargetMode="External" Id="rId1" /><Relationship Type="http://schemas.openxmlformats.org/officeDocument/2006/relationships/hyperlink" Target="https://urbania.pe/inmueble/clasificado/alclapin-alquiler-de-departamento-en-miraflores-lima-1-dormitorio-151122912?n_src=Listado&amp;n_pills=Piscina&amp;n_pg=1&amp;n_pos=9" TargetMode="External" Id="rId2" /><Relationship Type="http://schemas.openxmlformats.org/officeDocument/2006/relationships/hyperlink" Target="https://urbania.pe/inmueble/clasificado/alclapin-alquiler-de-departamento-en-miraflores-lima-1-dormitorio-150746422?n_src=Listado&amp;n_pills=Ascensor&amp;n_pg=1&amp;n_pos=8" TargetMode="External" Id="rId3" /><Relationship Type="http://schemas.openxmlformats.org/officeDocument/2006/relationships/hyperlink" Target="https://urbania.pe/inmueble/clasificado/alclapin-alquiler-de-departamento-en-san-antonio-miraflores-1-dormitorio-151111723?n_src=Listado&amp;n_pills=Ascensor&amp;n_pg=1&amp;n_pos=6" TargetMode="External" Id="rId4" /><Relationship Type="http://schemas.openxmlformats.org/officeDocument/2006/relationships/hyperlink" Target="https://urbania.pe/inmueble/clasificado/alclapin-alquiler-de-departamento-en-miraflores-lima-1-dormitorio-151178161?n_src=Listado&amp;n_pills=Parrilla&amp;n_pg=1&amp;n_pos=11" TargetMode="External" Id="rId5" /><Relationship Type="http://schemas.openxmlformats.org/officeDocument/2006/relationships/hyperlink" Target="https://www.google.com/maps/search/?api=1&amp;query=-12.131336,-77.021967" TargetMode="External" Id="rId6"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7" /><Relationship Type="http://schemas.openxmlformats.org/officeDocument/2006/relationships/hyperlink" Target="https://www.adondevivir.com/propiedades/clasificado/alclapin-loft-45-m-sup2--amoblado-y-equipado-1-dorm-area-146109648.html?n_src=Listado&amp;n_pills=Seguridad&amp;n_pg=1&amp;n_pos=13" TargetMode="External" Id="rId8"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9" /><Relationship Type="http://schemas.openxmlformats.org/officeDocument/2006/relationships/hyperlink" Target="https://urbania.pe/inmueble/clasificado/alclapin-alquiler-de-departamento-en-miraflores-lima-1-dormitorio-150869056?n_src=Listado&amp;n_pills=Seguridad&amp;n_pg=1&amp;n_pos=12" TargetMode="External" Id="rId10" /><Relationship Type="http://schemas.openxmlformats.org/officeDocument/2006/relationships/hyperlink" Target="https://urbania.pe/inmueble/clasificado/alclapin-alquiler-de-departamento-en-miraflores-lima-2-dormitorios-151159973?n_src=Listado&amp;n_pills=%C3%81rea+de+lavander%C3%ADa&amp;n_pg=1&amp;n_pos=7" TargetMode="External" Id="rId11" /><Relationship Type="http://schemas.openxmlformats.org/officeDocument/2006/relationships/hyperlink" Target="https://urbania.pe/inmueble/clasificado/alclapin-alquiler-de-departamento-en-miraflores-lima-2-dormitorios-151011858?n_src=Listado&amp;n_pills=Seguridad&amp;n_pg=1&amp;n_pos=2" TargetMode="External" Id="rId12" /><Relationship Type="http://schemas.openxmlformats.org/officeDocument/2006/relationships/hyperlink" Target="https://urbania.pe/inmueble/clasificado/alclapin-alquiler-de-departamento-en-miraflores-lima-2-dormitorios-150982482?n_src=Listado&amp;n_pills=Amoblado&amp;n_pg=1&amp;n_pos=10" TargetMode="External" Id="rId13" /><Relationship Type="http://schemas.openxmlformats.org/officeDocument/2006/relationships/hyperlink" Target="https://urbania.pe/inmueble/clasificado/alclapin-alquiler-de-departamento-en-miraflores-lima-2-dormitorios-151058338?n_src=Listado&amp;n_pills=Seguridad&amp;n_pg=1&amp;n_pos=9" TargetMode="External" Id="rId14" /><Relationship Type="http://schemas.openxmlformats.org/officeDocument/2006/relationships/hyperlink" Target="https://urbania.pe/inmueble/clasificado/alclapin-alquiler-de-departamento-en-miraflores-lima-1-dormitorio-150518776?n_src=Listado&amp;n_pills=Guardian%C3%ADa%2FSeguridad+privada&amp;n_pg=1&amp;n_pos=13" TargetMode="External" Id="rId15" /><Relationship Type="http://schemas.openxmlformats.org/officeDocument/2006/relationships/hyperlink" Target="https://urbania.pe/inmueble/clasificado/alclapin-alquiler-de-departamento-en-alexander-von-humboldt-miraflores-1-dormitorio-150850058?n_src=Listado&amp;n_pills=Ascensor&amp;n_pg=1&amp;n_pos=10" TargetMode="External" Id="rId16" /><Relationship Type="http://schemas.openxmlformats.org/officeDocument/2006/relationships/hyperlink" Target="https://urbania.pe/inmueble/clasificado/alclapin-alquiler-de-departamento-en-miraflores-lima-2-dormitorios-151047474?n_src=Listado&amp;n_pills=%C3%81rea+de+lavander%C3%ADa&amp;n_pg=1&amp;n_pos=12" TargetMode="External" Id="rId17" /><Relationship Type="http://schemas.openxmlformats.org/officeDocument/2006/relationships/hyperlink" Target="https://urbania.pe/inmueble/clasificado/alclapin-alquiler-de-departamento-en-miraflores-lima-1-dormitorio-150752635?n_src=Listado&amp;n_pills=Gimnasio&amp;n_pg=1&amp;n_pos=4" TargetMode="External" Id="rId18" /><Relationship Type="http://schemas.openxmlformats.org/officeDocument/2006/relationships/hyperlink" Target="https://urbania.pe/inmueble/clasificado/alclapin-alquiler-de-departamento-en-miraflores-lima-2-dormitorios-151167358?n_src=Listado&amp;n_pills=Guardian%C3%ADa%2FSeguridad+privada&amp;n_pg=1&amp;n_pos=8" TargetMode="External" Id="rId19" /><Relationship Type="http://schemas.openxmlformats.org/officeDocument/2006/relationships/hyperlink" Target="https://urbania.pe/inmueble/clasificado/alclapin-alquiler-de-departamento-en-miraflores-lima-2-dormitorios-149641202?n_src=Listado&amp;n_pg=1&amp;n_pos=18" TargetMode="External" Id="rId20" /><Relationship Type="http://schemas.openxmlformats.org/officeDocument/2006/relationships/hyperlink" Target="https://www.google.com/maps/search/?api=1&amp;query=-12.131336,-77.021967" TargetMode="External" Id="rId21" /><Relationship Type="http://schemas.openxmlformats.org/officeDocument/2006/relationships/hyperlink" Target="https://urbania.pe/inmueble/clasificado/alclapin-alquiler-de-departamento-en-miraflores-lima-2-dormitorios-150634895?n_src=Listado&amp;n_pills=Guardian%C3%ADa%2FSeguridad+privada&amp;n_pg=1&amp;n_pos=6" TargetMode="External" Id="rId22" /><Relationship Type="http://schemas.openxmlformats.org/officeDocument/2006/relationships/hyperlink" Target="https://www.adondevivir.com/propiedades/clasificado/alclapin-departamento-de-estreno-de-2-habitaciones-150773832.html?n_src=Listado&amp;n_pills=Piscina&amp;n_pg=1&amp;n_pos=26" TargetMode="External" Id="rId23" /><Relationship Type="http://schemas.openxmlformats.org/officeDocument/2006/relationships/hyperlink" Target="https://www.adondevivir.com/propiedades/clasificado/alclapin-departamento-de-2-habitaciones-con-balcon-y-149904784.html?n_src=Listado&amp;n_pills=Parrilla&amp;n_pg=1&amp;n_pos=22" TargetMode="External" Id="rId24" /><Relationship Type="http://schemas.openxmlformats.org/officeDocument/2006/relationships/hyperlink" Target="https://www.adondevivir.com/propiedades/clasificado/alclapin-departamento-de-1-cuarto-mas-amplio-estudio-sin-151127641.html?n_src=Listado&amp;n_pills=Ascensor&amp;n_pg=1&amp;n_pos=10" TargetMode="External" Id="rId25"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https://urbania.pe/inmueble/clasificado/alclapin-alquiler-de-departamento-en-miraflores-lima-2-dormitorios-151077958?n_src=Listado&amp;n_pills=Seguridad&amp;n_pg=1&amp;n_pos=17" TargetMode="External" Id="rId1" /><Relationship Type="http://schemas.openxmlformats.org/officeDocument/2006/relationships/hyperlink" Target="https://www.adondevivir.com/propiedades/clasificado/alclapin-departamento-de-estreno-de-2-habitaciones-balcon-151047414.html?n_src=Listado&amp;n_pills=Guardian%C3%ADa%2FSeguridad+privada&amp;n_pg=1&amp;n_pos=28"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hyperlink" Target="https://urbania.pe/inmueble/clasificado/alclapin-alquiler-de-departamento-en-miraflores-lima-1-dormitorio-150439988?n_src=Listado&amp;n_pills=%C3%81rea+de+lavander%C3%ADa&amp;n_pg=1&amp;n_pos=7" TargetMode="Externa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hyperlink" Target="https://www.adondevivir.com/propiedades/clasificado/alclapin-departamento-en-alquiler-en-miraflores-151162497.html?n_src=Listado&amp;n_pills=Ascensor&amp;n_pg=1&amp;n_pos=3" TargetMode="External" Id="rId1" /><Relationship Type="http://schemas.openxmlformats.org/officeDocument/2006/relationships/hyperlink" Target="https://urbania.pe/inmueble/clasificado/alclapin-alquiler-de-departamento-en-miraflores-lima-1-dormitorio-151122912?n_src=Listado&amp;n_pills=Piscina&amp;n_pg=1&amp;n_pos=9" TargetMode="External" Id="rId2" /><Relationship Type="http://schemas.openxmlformats.org/officeDocument/2006/relationships/hyperlink" Target="https://urbania.pe/inmueble/clasificado/alclapin-alquiler-de-departamento-en-miraflores-lima-1-dormitorio-150746422?n_src=Listado&amp;n_pills=Ascensor&amp;n_pg=1&amp;n_pos=8" TargetMode="External" Id="rId3" /><Relationship Type="http://schemas.openxmlformats.org/officeDocument/2006/relationships/hyperlink" Target="https://urbania.pe/inmueble/clasificado/alclapin-alquiler-de-departamento-en-san-antonio-miraflores-1-dormitorio-151111723?n_src=Listado&amp;n_pills=Ascensor&amp;n_pg=1&amp;n_pos=6" TargetMode="External" Id="rId4" /><Relationship Type="http://schemas.openxmlformats.org/officeDocument/2006/relationships/hyperlink" Target="https://urbania.pe/inmueble/clasificado/alclapin-alquiler-de-departamento-en-miraflores-lima-1-dormitorio-151178161?n_src=Listado&amp;n_pills=Parrilla&amp;n_pg=1&amp;n_pos=11" TargetMode="External" Id="rId5"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6" /><Relationship Type="http://schemas.openxmlformats.org/officeDocument/2006/relationships/hyperlink" Target="https://www.adondevivir.com/propiedades/clasificado/alclapin-loft-45-m-sup2--amoblado-y-equipado-1-dorm-area-146109648.html?n_src=Listado&amp;n_pills=Seguridad&amp;n_pg=1&amp;n_pos=13" TargetMode="External" Id="rId7"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8" /><Relationship Type="http://schemas.openxmlformats.org/officeDocument/2006/relationships/hyperlink" Target="https://urbania.pe/inmueble/clasificado/alclapin-alquiler-de-departamento-en-miraflores-lima-1-dormitorio-150869056?n_src=Listado&amp;n_pills=Seguridad&amp;n_pg=1&amp;n_pos=12" TargetMode="External" Id="rId9" /><Relationship Type="http://schemas.openxmlformats.org/officeDocument/2006/relationships/hyperlink" Target="https://urbania.pe/inmueble/clasificado/alclapin-alquiler-de-departamento-en-miraflores-lima-2-dormitorios-151159973?n_src=Listado&amp;n_pills=%C3%81rea+de+lavander%C3%ADa&amp;n_pg=1&amp;n_pos=7" TargetMode="External" Id="rId10" /></Relationships>
</file>

<file path=xl/worksheets/sheet1.xml><?xml version="1.0" encoding="utf-8"?>
<worksheet xmlns="http://schemas.openxmlformats.org/spreadsheetml/2006/main">
  <sheetPr>
    <outlinePr summaryBelow="1" summaryRight="1"/>
    <pageSetUpPr/>
  </sheetPr>
  <dimension ref="A1:N14"/>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5" customWidth="1" min="2" max="2"/>
    <col width="9" customWidth="1" min="3" max="3"/>
    <col width="13" customWidth="1" min="4" max="4"/>
    <col width="12" customWidth="1" min="5" max="5"/>
    <col width="9" customWidth="1" min="6" max="6"/>
    <col width="8" customWidth="1" min="7" max="7"/>
    <col width="11" customWidth="1" min="8" max="8"/>
    <col width="15" customWidth="1" min="9" max="9"/>
    <col width="30" customWidth="1" min="10" max="10"/>
    <col width="26" customWidth="1" min="11" max="11"/>
    <col width="7" customWidth="1" min="12" max="12"/>
    <col width="14" customWidth="1" min="13" max="13"/>
    <col width="6" customWidth="1" min="14" max="14"/>
  </cols>
  <sheetData>
    <row r="1">
      <c r="A1" s="1" t="inlineStr">
        <is>
          <t>Top 10 apartments to contact first — Miraflores, rent ≤ USD 1,000</t>
        </is>
      </c>
    </row>
    <row r="2" ht="28" customHeight="1">
      <c r="A2" s="2" t="inlineStr">
        <is>
          <t>Est. Total: green = rent + maintenance ≤ USD 1,000 · amber = rent within budget but the total is above USD 1,000 or maintenance is not published. Noise is an estimate — visit at rush hour and at night. Generated 2026-09-24T20:49:33-05:00 · FX 1 USD = S/ 3.385 (BCRP live).</t>
        </is>
      </c>
    </row>
    <row r="4" ht="30" customHeight="1">
      <c r="A4" s="3" t="inlineStr">
        <is>
          <t>Rank</t>
        </is>
      </c>
      <c r="B4" s="3" t="inlineStr">
        <is>
          <t>Property</t>
        </is>
      </c>
      <c r="C4" s="3" t="inlineStr">
        <is>
          <t>Rent</t>
        </is>
      </c>
      <c r="D4" s="3" t="inlineStr">
        <is>
          <t>Maintenance</t>
        </is>
      </c>
      <c r="E4" s="3" t="inlineStr">
        <is>
          <t>Est. Total</t>
        </is>
      </c>
      <c r="F4" s="3" t="inlineStr">
        <is>
          <t>Bedrooms</t>
        </is>
      </c>
      <c r="G4" s="3" t="inlineStr">
        <is>
          <t>Area m²</t>
        </is>
      </c>
      <c r="H4" s="3" t="inlineStr">
        <is>
          <t>Furnished</t>
        </is>
      </c>
      <c r="I4" s="3" t="inlineStr">
        <is>
          <t>Noise</t>
        </is>
      </c>
      <c r="J4" s="3" t="inlineStr">
        <is>
          <t>Why It Stands Out</t>
        </is>
      </c>
      <c r="K4" s="3" t="inlineStr">
        <is>
          <t>Main Drawback</t>
        </is>
      </c>
      <c r="L4" s="3" t="inlineStr">
        <is>
          <t>Listing</t>
        </is>
      </c>
      <c r="M4" s="3" t="inlineStr">
        <is>
          <t>WhatsApp / Contact</t>
        </is>
      </c>
      <c r="N4" s="3" t="inlineStr">
        <is>
          <t>Map</t>
        </is>
      </c>
    </row>
    <row r="5">
      <c r="A5" s="4" t="n">
        <v>1</v>
      </c>
      <c r="B5" s="5" t="inlineStr">
        <is>
          <t>1BR · 62 m² — Miraflores · ID 151162497</t>
        </is>
      </c>
      <c r="C5" s="6" t="n">
        <v>768.09</v>
      </c>
      <c r="D5" s="5" t="inlineStr">
        <is>
          <t>S/ 295 (≈ USD 87)</t>
        </is>
      </c>
      <c r="E5" s="7" t="n">
        <v>855.24</v>
      </c>
      <c r="F5" s="4" t="n">
        <v>1</v>
      </c>
      <c r="G5" s="4" t="n">
        <v>62</v>
      </c>
      <c r="H5" s="5" t="inlineStr">
        <is>
          <t>Yes</t>
        </is>
      </c>
      <c r="I5" s="8" t="inlineStr">
        <is>
          <t>NOISE UNCERTAIN · MEDIUM risk · low confidence</t>
        </is>
      </c>
      <c r="J5" s="5" t="inlineStr">
        <is>
          <t>62 m² area — very spacious for a 1-bedroom; USD 12.4/m² (excellent value vs other 1BR in sample); furnished</t>
        </is>
      </c>
      <c r="K5" s="5" t="inlineStr">
        <is>
          <t>no map location — noise estimate is text-only</t>
        </is>
      </c>
      <c r="L5" s="9" t="inlineStr">
        <is>
          <t>Open</t>
        </is>
      </c>
      <c r="M5" s="10" t="inlineStr">
        <is>
          <t>Via portal</t>
        </is>
      </c>
      <c r="N5" s="11" t="inlineStr">
        <is>
          <t>—</t>
        </is>
      </c>
    </row>
    <row r="6">
      <c r="A6" s="4" t="n">
        <v>2</v>
      </c>
      <c r="B6" s="5" t="inlineStr">
        <is>
          <t>1BR · 42 m² — Miraflores · ID 151122912</t>
        </is>
      </c>
      <c r="C6" s="6" t="n">
        <v>827.1799999999999</v>
      </c>
      <c r="D6" s="5" t="inlineStr">
        <is>
          <t>S/ 200 (≈ USD 59)</t>
        </is>
      </c>
      <c r="E6" s="7" t="n">
        <v>886.26</v>
      </c>
      <c r="F6" s="4" t="n">
        <v>1</v>
      </c>
      <c r="G6" s="4" t="n">
        <v>42</v>
      </c>
      <c r="H6" s="5" t="inlineStr">
        <is>
          <t>Yes</t>
        </is>
      </c>
      <c r="I6" s="12" t="inlineStr">
        <is>
          <t>POSSIBLY QUIET · MEDIUM risk · low confidence</t>
        </is>
      </c>
      <c r="J6" s="5" t="inlineStr">
        <is>
          <t>interior-facing; furnished; building security/controlled access</t>
        </is>
      </c>
      <c r="K6" s="5" t="inlineStr">
        <is>
          <t>no map location — noise estimate is text-only</t>
        </is>
      </c>
      <c r="L6" s="9" t="inlineStr">
        <is>
          <t>Open</t>
        </is>
      </c>
      <c r="M6" s="10" t="inlineStr">
        <is>
          <t>Via portal</t>
        </is>
      </c>
      <c r="N6" s="11" t="inlineStr">
        <is>
          <t>—</t>
        </is>
      </c>
    </row>
    <row r="7">
      <c r="A7" s="4" t="n">
        <v>3</v>
      </c>
      <c r="B7" s="5" t="inlineStr">
        <is>
          <t>1BR · 71 m² — Miraflores · ID 150746422</t>
        </is>
      </c>
      <c r="C7" s="6" t="n">
        <v>903.99</v>
      </c>
      <c r="D7" s="5" t="inlineStr">
        <is>
          <t>S/ 300 (≈ USD 89)</t>
        </is>
      </c>
      <c r="E7" s="7" t="n">
        <v>992.62</v>
      </c>
      <c r="F7" s="4" t="n">
        <v>1</v>
      </c>
      <c r="G7" s="4" t="n">
        <v>71</v>
      </c>
      <c r="H7" s="5" t="inlineStr">
        <is>
          <t>Yes</t>
        </is>
      </c>
      <c r="I7" s="12" t="inlineStr">
        <is>
          <t>POSSIBLY QUIET · MEDIUM risk · low confidence</t>
        </is>
      </c>
      <c r="J7" s="5" t="inlineStr">
        <is>
          <t>71 m² area — very spacious for a 1-bedroom; interior-facing; USD 12.7/m² (good value vs other 1BR in sample)</t>
        </is>
      </c>
      <c r="K7" s="5" t="inlineStr">
        <is>
          <t>no map location — noise estimate is text-only</t>
        </is>
      </c>
      <c r="L7" s="9" t="inlineStr">
        <is>
          <t>Open</t>
        </is>
      </c>
      <c r="M7" s="10" t="inlineStr">
        <is>
          <t>Via portal</t>
        </is>
      </c>
      <c r="N7" s="11" t="inlineStr">
        <is>
          <t>—</t>
        </is>
      </c>
    </row>
    <row r="8">
      <c r="A8" s="4" t="n">
        <v>4</v>
      </c>
      <c r="B8" s="5" t="inlineStr">
        <is>
          <t>1BR · 40 m² — San Antonio</t>
        </is>
      </c>
      <c r="C8" s="6" t="n">
        <v>768.09</v>
      </c>
      <c r="D8" s="5" t="inlineStr">
        <is>
          <t>S/ 200 (≈ USD 59)</t>
        </is>
      </c>
      <c r="E8" s="7" t="n">
        <v>827.17</v>
      </c>
      <c r="F8" s="4" t="n">
        <v>1</v>
      </c>
      <c r="G8" s="4" t="n">
        <v>40</v>
      </c>
      <c r="H8" s="5" t="inlineStr">
        <is>
          <t>Yes</t>
        </is>
      </c>
      <c r="I8" s="12" t="inlineStr">
        <is>
          <t>POSSIBLY QUIET · MEDIUM risk · low confidence</t>
        </is>
      </c>
      <c r="J8" s="5" t="inlineStr">
        <is>
          <t>interior-facing; all-in ≈ USD 827/month; furnished</t>
        </is>
      </c>
      <c r="K8" s="5" t="inlineStr">
        <is>
          <t>no map location — noise estimate is text-only</t>
        </is>
      </c>
      <c r="L8" s="9" t="inlineStr">
        <is>
          <t>Open</t>
        </is>
      </c>
      <c r="M8" s="10" t="inlineStr">
        <is>
          <t>Via portal</t>
        </is>
      </c>
      <c r="N8" s="11" t="inlineStr">
        <is>
          <t>—</t>
        </is>
      </c>
    </row>
    <row r="9">
      <c r="A9" s="4" t="n">
        <v>5</v>
      </c>
      <c r="B9" s="5" t="inlineStr">
        <is>
          <t>1BR · 41 m² — Miraflores · ID 151178161</t>
        </is>
      </c>
      <c r="C9" s="6" t="n">
        <v>679.47</v>
      </c>
      <c r="D9" s="5" t="inlineStr">
        <is>
          <t>S/ 250 (≈ USD 74)</t>
        </is>
      </c>
      <c r="E9" s="7" t="n">
        <v>753.33</v>
      </c>
      <c r="F9" s="4" t="n">
        <v>1</v>
      </c>
      <c r="G9" s="4" t="n">
        <v>41</v>
      </c>
      <c r="H9" s="5" t="inlineStr">
        <is>
          <t>UNKNOWN</t>
        </is>
      </c>
      <c r="I9" s="12" t="inlineStr">
        <is>
          <t>POSSIBLY QUIET · MEDIUM risk · low confidence</t>
        </is>
      </c>
      <c r="J9" s="5" t="inlineStr">
        <is>
          <t>interior-facing; all-in ≈ USD 753/month; balcony/terrace</t>
        </is>
      </c>
      <c r="K9" s="5" t="inlineStr">
        <is>
          <t>on a major arterial (see noise evidence) — check traffic noise in the bedroom</t>
        </is>
      </c>
      <c r="L9" s="9" t="inlineStr">
        <is>
          <t>Open</t>
        </is>
      </c>
      <c r="M9" s="10" t="inlineStr">
        <is>
          <t>Via portal</t>
        </is>
      </c>
      <c r="N9" s="9" t="inlineStr">
        <is>
          <t>Map</t>
        </is>
      </c>
    </row>
    <row r="10">
      <c r="A10" s="4" t="n">
        <v>6</v>
      </c>
      <c r="B10" s="5" t="inlineStr">
        <is>
          <t>1BR · 71 m² — Miraflores · ID 150877601</t>
        </is>
      </c>
      <c r="C10" s="6" t="n">
        <v>886.26</v>
      </c>
      <c r="D10" s="5" t="inlineStr">
        <is>
          <t>S/ 330 (≈ USD 97)</t>
        </is>
      </c>
      <c r="E10" s="7" t="n">
        <v>983.75</v>
      </c>
      <c r="F10" s="4" t="n">
        <v>1</v>
      </c>
      <c r="G10" s="4" t="n">
        <v>71</v>
      </c>
      <c r="H10" s="5" t="inlineStr">
        <is>
          <t>Yes</t>
        </is>
      </c>
      <c r="I10" s="12" t="inlineStr">
        <is>
          <t>POSSIBLY QUIET · MEDIUM risk · low confidence</t>
        </is>
      </c>
      <c r="J10" s="5" t="inlineStr">
        <is>
          <t>71 m² area — very spacious for a 1-bedroom; interior-facing; USD 12.5/m² (excellent value vs other 1BR in sample)</t>
        </is>
      </c>
      <c r="K10" s="5" t="inlineStr">
        <is>
          <t>no map location — noise estimate is text-only</t>
        </is>
      </c>
      <c r="L10" s="9" t="inlineStr">
        <is>
          <t>Open</t>
        </is>
      </c>
      <c r="M10" s="10" t="inlineStr">
        <is>
          <t>Via portal</t>
        </is>
      </c>
      <c r="N10" s="11" t="inlineStr">
        <is>
          <t>—</t>
        </is>
      </c>
    </row>
    <row r="11">
      <c r="A11" s="4" t="n">
        <v>7</v>
      </c>
      <c r="B11" s="5" t="inlineStr">
        <is>
          <t>1BR · 45 m² — Miraflores · ID 146109648</t>
        </is>
      </c>
      <c r="C11" s="6" t="n">
        <v>724.37</v>
      </c>
      <c r="D11" s="5" t="inlineStr">
        <is>
          <t>S/ 250 (≈ USD 74)</t>
        </is>
      </c>
      <c r="E11" s="7" t="n">
        <v>798.23</v>
      </c>
      <c r="F11" s="4" t="n">
        <v>1</v>
      </c>
      <c r="G11" s="4" t="n">
        <v>45</v>
      </c>
      <c r="H11" s="5" t="inlineStr">
        <is>
          <t>Yes</t>
        </is>
      </c>
      <c r="I11" s="8" t="inlineStr">
        <is>
          <t>NOISE UNCERTAIN · MEDIUM risk · low confidence</t>
        </is>
      </c>
      <c r="J11" s="5" t="inlineStr">
        <is>
          <t>USD 16.1/m² (good value vs other 1BR in sample); all-in ≈ USD 798/month; furnished</t>
        </is>
      </c>
      <c r="K11" s="5" t="inlineStr">
        <is>
          <t>no map location — noise estimate is text-only</t>
        </is>
      </c>
      <c r="L11" s="9" t="inlineStr">
        <is>
          <t>Open</t>
        </is>
      </c>
      <c r="M11" s="10" t="inlineStr">
        <is>
          <t>Via portal</t>
        </is>
      </c>
      <c r="N11" s="11" t="inlineStr">
        <is>
          <t>—</t>
        </is>
      </c>
    </row>
    <row r="12">
      <c r="A12" s="4" t="n">
        <v>8</v>
      </c>
      <c r="B12" s="5" t="inlineStr">
        <is>
          <t>1BR · 43 m² — Miraflores · ID 151124896</t>
        </is>
      </c>
      <c r="C12" s="6" t="n">
        <v>746.8200000000001</v>
      </c>
      <c r="D12" s="5" t="inlineStr">
        <is>
          <t>S/ 290 (≈ USD 86)</t>
        </is>
      </c>
      <c r="E12" s="7" t="n">
        <v>832.49</v>
      </c>
      <c r="F12" s="4" t="n">
        <v>1</v>
      </c>
      <c r="G12" s="4" t="n">
        <v>43</v>
      </c>
      <c r="H12" s="5" t="inlineStr">
        <is>
          <t>Yes</t>
        </is>
      </c>
      <c r="I12" s="8" t="inlineStr">
        <is>
          <t>NOISE UNCERTAIN · MEDIUM risk · low confidence</t>
        </is>
      </c>
      <c r="J12" s="5" t="inlineStr">
        <is>
          <t>all-in ≈ USD 832/month; furnished; building security/controlled access</t>
        </is>
      </c>
      <c r="K12" s="5" t="inlineStr">
        <is>
          <t>no map location — noise estimate is text-only</t>
        </is>
      </c>
      <c r="L12" s="9" t="inlineStr">
        <is>
          <t>Open</t>
        </is>
      </c>
      <c r="M12" s="10" t="inlineStr">
        <is>
          <t>Via portal</t>
        </is>
      </c>
      <c r="N12" s="11" t="inlineStr">
        <is>
          <t>—</t>
        </is>
      </c>
    </row>
    <row r="13">
      <c r="A13" s="4" t="n">
        <v>9</v>
      </c>
      <c r="B13" s="5" t="inlineStr">
        <is>
          <t>1BR · 71 m² — Miraflores · ID 150869056</t>
        </is>
      </c>
      <c r="C13" s="6" t="n">
        <v>886.26</v>
      </c>
      <c r="D13" s="5" t="inlineStr">
        <is>
          <t>S/ 330 (≈ USD 97)</t>
        </is>
      </c>
      <c r="E13" s="7" t="n">
        <v>983.75</v>
      </c>
      <c r="F13" s="4" t="n">
        <v>1</v>
      </c>
      <c r="G13" s="4" t="n">
        <v>71</v>
      </c>
      <c r="H13" s="5" t="inlineStr">
        <is>
          <t>Yes</t>
        </is>
      </c>
      <c r="I13" s="8" t="inlineStr">
        <is>
          <t>NOISE UNCERTAIN · UNKNOWN risk · low confidence</t>
        </is>
      </c>
      <c r="J13" s="5" t="inlineStr">
        <is>
          <t>71 m² area — very spacious for a 1-bedroom; USD 12.5/m² (excellent value vs other 1BR in sample); furnished</t>
        </is>
      </c>
      <c r="K13" s="5" t="inlineStr">
        <is>
          <t>no map location — noise estimate is text-only</t>
        </is>
      </c>
      <c r="L13" s="9" t="inlineStr">
        <is>
          <t>Open</t>
        </is>
      </c>
      <c r="M13" s="10" t="inlineStr">
        <is>
          <t>Via portal</t>
        </is>
      </c>
      <c r="N13" s="11" t="inlineStr">
        <is>
          <t>—</t>
        </is>
      </c>
    </row>
    <row r="14">
      <c r="A14" s="4" t="n">
        <v>10</v>
      </c>
      <c r="B14" s="5" t="inlineStr">
        <is>
          <t>2BR · 96 m² — Miraflores · ID 151159973</t>
        </is>
      </c>
      <c r="C14" s="6" t="n">
        <v>738.55</v>
      </c>
      <c r="D14" s="5" t="inlineStr">
        <is>
          <t>S/ 260 (≈ USD 77)</t>
        </is>
      </c>
      <c r="E14" s="7" t="n">
        <v>815.36</v>
      </c>
      <c r="F14" s="4" t="n">
        <v>2</v>
      </c>
      <c r="G14" s="4" t="n">
        <v>96</v>
      </c>
      <c r="H14" s="5" t="inlineStr">
        <is>
          <t>No</t>
        </is>
      </c>
      <c r="I14" s="8" t="inlineStr">
        <is>
          <t>NOISE UNCERTAIN · UNKNOWN risk · low confidence</t>
        </is>
      </c>
      <c r="J14" s="5" t="inlineStr">
        <is>
          <t>96 m² area — very spacious for a 2-bedroom; USD 7.7/m² (excellent value vs other 2BR in sample); all-in ≈ USD 815/month</t>
        </is>
      </c>
      <c r="K14" s="5" t="inlineStr">
        <is>
          <t>unfurnished</t>
        </is>
      </c>
      <c r="L14" s="9" t="inlineStr">
        <is>
          <t>Open</t>
        </is>
      </c>
      <c r="M14" s="10" t="inlineStr">
        <is>
          <t>Via portal</t>
        </is>
      </c>
      <c r="N14" s="11" t="inlineStr">
        <is>
          <t>—</t>
        </is>
      </c>
    </row>
  </sheetData>
  <autoFilter ref="A4:N14"/>
  <conditionalFormatting sqref="A5:N14">
    <cfRule type="cellIs" priority="1" operator="equal" dxfId="0">
      <formula>"UNKNOWN"</formula>
    </cfRule>
  </conditionalFormatting>
  <hyperlinks>
    <hyperlink xmlns:r="http://schemas.openxmlformats.org/officeDocument/2006/relationships" ref="L5" r:id="rId1"/>
    <hyperlink xmlns:r="http://schemas.openxmlformats.org/officeDocument/2006/relationships" ref="M5" r:id="rId2"/>
    <hyperlink xmlns:r="http://schemas.openxmlformats.org/officeDocument/2006/relationships" ref="L6" r:id="rId3"/>
    <hyperlink xmlns:r="http://schemas.openxmlformats.org/officeDocument/2006/relationships" ref="M6" r:id="rId4"/>
    <hyperlink xmlns:r="http://schemas.openxmlformats.org/officeDocument/2006/relationships" ref="L7" r:id="rId5"/>
    <hyperlink xmlns:r="http://schemas.openxmlformats.org/officeDocument/2006/relationships" ref="M7" r:id="rId6"/>
    <hyperlink xmlns:r="http://schemas.openxmlformats.org/officeDocument/2006/relationships" ref="L8" r:id="rId7"/>
    <hyperlink xmlns:r="http://schemas.openxmlformats.org/officeDocument/2006/relationships" ref="M8" r:id="rId8"/>
    <hyperlink xmlns:r="http://schemas.openxmlformats.org/officeDocument/2006/relationships" ref="L9" r:id="rId9"/>
    <hyperlink xmlns:r="http://schemas.openxmlformats.org/officeDocument/2006/relationships" ref="M9" r:id="rId10"/>
    <hyperlink xmlns:r="http://schemas.openxmlformats.org/officeDocument/2006/relationships" ref="N9" r:id="rId11"/>
    <hyperlink xmlns:r="http://schemas.openxmlformats.org/officeDocument/2006/relationships" ref="L10" r:id="rId12"/>
    <hyperlink xmlns:r="http://schemas.openxmlformats.org/officeDocument/2006/relationships" ref="M10" r:id="rId13"/>
    <hyperlink xmlns:r="http://schemas.openxmlformats.org/officeDocument/2006/relationships" ref="L11" r:id="rId14"/>
    <hyperlink xmlns:r="http://schemas.openxmlformats.org/officeDocument/2006/relationships" ref="M11" r:id="rId15"/>
    <hyperlink xmlns:r="http://schemas.openxmlformats.org/officeDocument/2006/relationships" ref="L12" r:id="rId16"/>
    <hyperlink xmlns:r="http://schemas.openxmlformats.org/officeDocument/2006/relationships" ref="M12" r:id="rId17"/>
    <hyperlink xmlns:r="http://schemas.openxmlformats.org/officeDocument/2006/relationships" ref="L13" r:id="rId18"/>
    <hyperlink xmlns:r="http://schemas.openxmlformats.org/officeDocument/2006/relationships" ref="M13" r:id="rId19"/>
    <hyperlink xmlns:r="http://schemas.openxmlformats.org/officeDocument/2006/relationships" ref="L14" r:id="rId20"/>
    <hyperlink xmlns:r="http://schemas.openxmlformats.org/officeDocument/2006/relationships" ref="M14" r:id="rId21"/>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B27"/>
  <sheetViews>
    <sheetView zoomScale="100"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7" customWidth="1" min="3" max="3"/>
    <col width="34" customWidth="1" min="4" max="4"/>
    <col width="11" customWidth="1" min="5" max="5"/>
    <col width="16" customWidth="1" min="6" max="6"/>
    <col width="11" customWidth="1" min="7" max="7"/>
    <col width="16" customWidth="1" min="8" max="8"/>
    <col width="8" customWidth="1" min="9" max="9"/>
    <col width="8" customWidth="1" min="10" max="10"/>
    <col width="8" customWidth="1" min="11" max="11"/>
    <col width="10" customWidth="1" min="12" max="12"/>
    <col width="9" customWidth="1" min="13" max="13"/>
    <col width="7" customWidth="1" min="14" max="14"/>
    <col width="22" customWidth="1" min="15" max="15"/>
    <col width="9" customWidth="1" min="16" max="16"/>
    <col width="34" customWidth="1" min="17" max="17"/>
    <col width="12" customWidth="1" min="18" max="18"/>
    <col width="14" customWidth="1" min="19" max="19"/>
    <col width="40" customWidth="1" min="20" max="20"/>
    <col width="36" customWidth="1" min="21" max="21"/>
    <col width="14" customWidth="1" min="22" max="22"/>
    <col width="14" customWidth="1" min="23" max="23"/>
    <col width="12" customWidth="1" min="24" max="24"/>
    <col width="14" customWidth="1" min="25" max="25"/>
    <col width="10" customWidth="1" min="26" max="26"/>
    <col width="16" customWidth="1" min="27" max="27"/>
    <col width="18" customWidth="1" min="28" max="28"/>
  </cols>
  <sheetData>
    <row r="1">
      <c r="A1" s="1" t="inlineStr">
        <is>
          <t>Miraflores rental shortlist — Top 10 and strong alternatives</t>
        </is>
      </c>
    </row>
    <row r="2">
      <c r="A2" s="13" t="inlineStr">
        <is>
          <t>Generated 2026-09-24T20:49:33-05:00 · FX 1 USD = S/ 3.385 (BCRP live) · Budget-compliant (rent ≤ USD 1,000), 1–2 bedrooms, inside Miraflores. Availability as checked at the QA timestamp; not guaranteed.</t>
        </is>
      </c>
    </row>
    <row r="4" ht="30" customHeight="1">
      <c r="A4" s="3" t="inlineStr">
        <is>
          <t>Tier</t>
        </is>
      </c>
      <c r="B4" s="3" t="inlineStr">
        <is>
          <t>Rank</t>
        </is>
      </c>
      <c r="C4" s="3" t="inlineStr">
        <is>
          <t>Fit Score</t>
        </is>
      </c>
      <c r="D4" s="3" t="inlineStr">
        <is>
          <t>Property</t>
        </is>
      </c>
      <c r="E4" s="3" t="inlineStr">
        <is>
          <t>Monthly Rent USD</t>
        </is>
      </c>
      <c r="F4" s="3" t="inlineStr">
        <is>
          <t>Maintenance</t>
        </is>
      </c>
      <c r="G4" s="3" t="inlineStr">
        <is>
          <t>Estimated Total USD</t>
        </is>
      </c>
      <c r="H4" s="3" t="inlineStr">
        <is>
          <t>Budget Class</t>
        </is>
      </c>
      <c r="I4" s="3" t="inlineStr">
        <is>
          <t>Bedrooms</t>
        </is>
      </c>
      <c r="J4" s="3" t="inlineStr">
        <is>
          <t>Area m²</t>
        </is>
      </c>
      <c r="K4" s="3" t="inlineStr">
        <is>
          <t>USD/m²</t>
        </is>
      </c>
      <c r="L4" s="3" t="inlineStr">
        <is>
          <t>Furnished</t>
        </is>
      </c>
      <c r="M4" s="3" t="inlineStr">
        <is>
          <t>Parking</t>
        </is>
      </c>
      <c r="N4" s="3" t="inlineStr">
        <is>
          <t>Floor</t>
        </is>
      </c>
      <c r="O4" s="3" t="inlineStr">
        <is>
          <t>Noise Risk</t>
        </is>
      </c>
      <c r="P4" s="3" t="inlineStr">
        <is>
          <t>Quietness Score</t>
        </is>
      </c>
      <c r="Q4" s="3" t="inlineStr">
        <is>
          <t>Location</t>
        </is>
      </c>
      <c r="R4" s="3" t="inlineStr">
        <is>
          <t>Contract</t>
        </is>
      </c>
      <c r="S4" s="3" t="inlineStr">
        <is>
          <t>Deposit</t>
        </is>
      </c>
      <c r="T4" s="3" t="inlineStr">
        <is>
          <t>Main Advantage</t>
        </is>
      </c>
      <c r="U4" s="3" t="inlineStr">
        <is>
          <t>Main Drawback</t>
        </is>
      </c>
      <c r="V4" s="3" t="inlineStr">
        <is>
          <t>Foreign Tenant</t>
        </is>
      </c>
      <c r="W4" s="3" t="inlineStr">
        <is>
          <t>Source</t>
        </is>
      </c>
      <c r="X4" s="3" t="inlineStr">
        <is>
          <t>View Listing</t>
        </is>
      </c>
      <c r="Y4" s="3" t="inlineStr">
        <is>
          <t>WhatsApp</t>
        </is>
      </c>
      <c r="Z4" s="3" t="inlineStr">
        <is>
          <t>Map</t>
        </is>
      </c>
      <c r="AA4" s="3" t="inlineStr">
        <is>
          <t>Active status</t>
        </is>
      </c>
      <c r="AB4" s="3" t="inlineStr">
        <is>
          <t>QA Status</t>
        </is>
      </c>
    </row>
    <row r="5">
      <c r="A5" s="11" t="inlineStr">
        <is>
          <t>TOP 10</t>
        </is>
      </c>
      <c r="B5" s="4" t="n">
        <v>1</v>
      </c>
      <c r="C5" s="14" t="n">
        <v>70.8</v>
      </c>
      <c r="D5" s="5" t="inlineStr">
        <is>
          <t>1BR · 62 m² — Miraflores · ID 151162497</t>
        </is>
      </c>
      <c r="E5" s="6" t="n">
        <v>768.09</v>
      </c>
      <c r="F5" s="5" t="inlineStr">
        <is>
          <t>S/ 295 (≈ USD 87)</t>
        </is>
      </c>
      <c r="G5" s="6" t="n">
        <v>855.24</v>
      </c>
      <c r="H5" s="11" t="inlineStr">
        <is>
          <t>STRICT_ALL_IN</t>
        </is>
      </c>
      <c r="I5" s="4" t="n">
        <v>1</v>
      </c>
      <c r="J5" s="4" t="n">
        <v>62</v>
      </c>
      <c r="K5" s="14" t="n">
        <v>12.39</v>
      </c>
      <c r="L5" s="11" t="inlineStr">
        <is>
          <t>Yes</t>
        </is>
      </c>
      <c r="M5" s="11" t="inlineStr">
        <is>
          <t>Yes</t>
        </is>
      </c>
      <c r="N5" s="5" t="inlineStr">
        <is>
          <t>UNKNOWN</t>
        </is>
      </c>
      <c r="O5" s="5" t="inlineStr">
        <is>
          <t>NOISE UNCERTAIN · MEDIUM risk · low confidence</t>
        </is>
      </c>
      <c r="P5" s="4" t="n">
        <v>52</v>
      </c>
      <c r="Q5" s="5" t="inlineStr">
        <is>
          <t>Lima · location data unavailable (neutral score)</t>
        </is>
      </c>
      <c r="R5" s="11" t="inlineStr">
        <is>
          <t>UNKNOWN</t>
        </is>
      </c>
      <c r="S5" s="5" t="inlineStr">
        <is>
          <t>2 months deposit; 1 in advance</t>
        </is>
      </c>
      <c r="T5" s="5" t="inlineStr">
        <is>
          <t>62 m² area — very spacious for a 1-bedroom; USD 12.4/m² (excellent value vs other 1BR in sample); furnished</t>
        </is>
      </c>
      <c r="U5" s="5" t="inlineStr">
        <is>
          <t>no map location — noise estimate is text-only</t>
        </is>
      </c>
      <c r="V5" s="11" t="inlineStr">
        <is>
          <t>UNKNOWN</t>
        </is>
      </c>
      <c r="W5" s="11" t="inlineStr">
        <is>
          <t>Adondevivir</t>
        </is>
      </c>
      <c r="X5" s="9" t="inlineStr">
        <is>
          <t>View listing</t>
        </is>
      </c>
      <c r="Y5" s="11" t="inlineStr">
        <is>
          <t>—</t>
        </is>
      </c>
      <c r="Z5" s="11" t="inlineStr">
        <is>
          <t>—</t>
        </is>
      </c>
      <c r="AA5" s="11" t="inlineStr">
        <is>
          <t>LIKELY_ACTIVE</t>
        </is>
      </c>
      <c r="AB5" s="5" t="inlineStr">
        <is>
          <t>UNVERIFIED_NOT_RETURNED</t>
        </is>
      </c>
    </row>
    <row r="6">
      <c r="A6" s="11" t="inlineStr">
        <is>
          <t>TOP 10</t>
        </is>
      </c>
      <c r="B6" s="4" t="n">
        <v>2</v>
      </c>
      <c r="C6" s="14" t="n">
        <v>67.8</v>
      </c>
      <c r="D6" s="5" t="inlineStr">
        <is>
          <t>1BR · 42 m² — Miraflores · ID 151122912</t>
        </is>
      </c>
      <c r="E6" s="6" t="n">
        <v>827.1799999999999</v>
      </c>
      <c r="F6" s="5" t="inlineStr">
        <is>
          <t>S/ 200 (≈ USD 59)</t>
        </is>
      </c>
      <c r="G6" s="6" t="n">
        <v>886.26</v>
      </c>
      <c r="H6" s="11" t="inlineStr">
        <is>
          <t>STRICT_ALL_IN</t>
        </is>
      </c>
      <c r="I6" s="4" t="n">
        <v>1</v>
      </c>
      <c r="J6" s="4" t="n">
        <v>42</v>
      </c>
      <c r="K6" s="14" t="n">
        <v>19.69</v>
      </c>
      <c r="L6" s="11" t="inlineStr">
        <is>
          <t>Yes</t>
        </is>
      </c>
      <c r="M6" s="11" t="inlineStr">
        <is>
          <t>Yes</t>
        </is>
      </c>
      <c r="N6" s="11" t="n">
        <v>8</v>
      </c>
      <c r="O6" s="5" t="inlineStr">
        <is>
          <t>POSSIBLY QUIET · MEDIUM risk · low confidence</t>
        </is>
      </c>
      <c r="P6" s="4" t="n">
        <v>58</v>
      </c>
      <c r="Q6" s="5" t="inlineStr">
        <is>
          <t>Lima · location data unavailable (neutral score)</t>
        </is>
      </c>
      <c r="R6" s="5" t="inlineStr">
        <is>
          <t>2 months min.</t>
        </is>
      </c>
      <c r="S6" s="5" t="inlineStr">
        <is>
          <t>2 months deposit; 1 in advance</t>
        </is>
      </c>
      <c r="T6" s="5" t="inlineStr">
        <is>
          <t>interior-facing; furnished; building security/controlled access</t>
        </is>
      </c>
      <c r="U6" s="5" t="inlineStr">
        <is>
          <t>no map location — noise estimate is text-only</t>
        </is>
      </c>
      <c r="V6" s="11" t="inlineStr">
        <is>
          <t>UNKNOWN</t>
        </is>
      </c>
      <c r="W6" s="5" t="inlineStr">
        <is>
          <t>Adondevivir + Urbania</t>
        </is>
      </c>
      <c r="X6" s="9" t="inlineStr">
        <is>
          <t>View listing</t>
        </is>
      </c>
      <c r="Y6" s="11" t="inlineStr">
        <is>
          <t>—</t>
        </is>
      </c>
      <c r="Z6" s="11" t="inlineStr">
        <is>
          <t>—</t>
        </is>
      </c>
      <c r="AA6" s="11" t="inlineStr">
        <is>
          <t>LIKELY_ACTIVE</t>
        </is>
      </c>
      <c r="AB6" s="5" t="inlineStr">
        <is>
          <t>UNVERIFIED_NOT_RETURNED</t>
        </is>
      </c>
    </row>
    <row r="7">
      <c r="A7" s="11" t="inlineStr">
        <is>
          <t>TOP 10</t>
        </is>
      </c>
      <c r="B7" s="4" t="n">
        <v>3</v>
      </c>
      <c r="C7" s="14" t="n">
        <v>66.8</v>
      </c>
      <c r="D7" s="5" t="inlineStr">
        <is>
          <t>1BR · 71 m² — Miraflores · ID 150746422</t>
        </is>
      </c>
      <c r="E7" s="6" t="n">
        <v>903.99</v>
      </c>
      <c r="F7" s="5" t="inlineStr">
        <is>
          <t>S/ 300 (≈ USD 89)</t>
        </is>
      </c>
      <c r="G7" s="6" t="n">
        <v>992.62</v>
      </c>
      <c r="H7" s="11" t="inlineStr">
        <is>
          <t>STRICT_ALL_IN</t>
        </is>
      </c>
      <c r="I7" s="4" t="n">
        <v>1</v>
      </c>
      <c r="J7" s="4" t="n">
        <v>71</v>
      </c>
      <c r="K7" s="14" t="n">
        <v>12.73</v>
      </c>
      <c r="L7" s="11" t="inlineStr">
        <is>
          <t>Yes</t>
        </is>
      </c>
      <c r="M7" s="11" t="inlineStr">
        <is>
          <t>Yes</t>
        </is>
      </c>
      <c r="N7" s="11" t="n">
        <v>5</v>
      </c>
      <c r="O7" s="5" t="inlineStr">
        <is>
          <t>POSSIBLY QUIET · MEDIUM risk · low confidence</t>
        </is>
      </c>
      <c r="P7" s="4" t="n">
        <v>56</v>
      </c>
      <c r="Q7" s="5" t="inlineStr">
        <is>
          <t>Lima · location data unavailable (neutral score)</t>
        </is>
      </c>
      <c r="R7" s="11" t="inlineStr">
        <is>
          <t>UNKNOWN</t>
        </is>
      </c>
      <c r="S7" s="11" t="inlineStr">
        <is>
          <t>UNKNOWN</t>
        </is>
      </c>
      <c r="T7" s="5" t="inlineStr">
        <is>
          <t>71 m² area — very spacious for a 1-bedroom; interior-facing; USD 12.7/m² (good value vs other 1BR in sample)</t>
        </is>
      </c>
      <c r="U7" s="5" t="inlineStr">
        <is>
          <t>no map location — noise estimate is text-only</t>
        </is>
      </c>
      <c r="V7" s="11" t="inlineStr">
        <is>
          <t>UNKNOWN</t>
        </is>
      </c>
      <c r="W7" s="11" t="inlineStr">
        <is>
          <t>Urbania</t>
        </is>
      </c>
      <c r="X7" s="9" t="inlineStr">
        <is>
          <t>View listing</t>
        </is>
      </c>
      <c r="Y7" s="11" t="inlineStr">
        <is>
          <t>—</t>
        </is>
      </c>
      <c r="Z7" s="11" t="inlineStr">
        <is>
          <t>—</t>
        </is>
      </c>
      <c r="AA7" s="11" t="inlineStr">
        <is>
          <t>LIKELY_ACTIVE</t>
        </is>
      </c>
      <c r="AB7" s="5" t="inlineStr">
        <is>
          <t>UNVERIFIED_NOT_RETURNED</t>
        </is>
      </c>
    </row>
    <row r="8">
      <c r="A8" s="11" t="inlineStr">
        <is>
          <t>TOP 10</t>
        </is>
      </c>
      <c r="B8" s="4" t="n">
        <v>4</v>
      </c>
      <c r="C8" s="14" t="n">
        <v>66</v>
      </c>
      <c r="D8" s="11" t="inlineStr">
        <is>
          <t>1BR · 40 m² — San Antonio</t>
        </is>
      </c>
      <c r="E8" s="6" t="n">
        <v>768.09</v>
      </c>
      <c r="F8" s="5" t="inlineStr">
        <is>
          <t>S/ 200 (≈ USD 59)</t>
        </is>
      </c>
      <c r="G8" s="6" t="n">
        <v>827.17</v>
      </c>
      <c r="H8" s="11" t="inlineStr">
        <is>
          <t>STRICT_ALL_IN</t>
        </is>
      </c>
      <c r="I8" s="4" t="n">
        <v>1</v>
      </c>
      <c r="J8" s="4" t="n">
        <v>40</v>
      </c>
      <c r="K8" s="14" t="n">
        <v>19.2</v>
      </c>
      <c r="L8" s="11" t="inlineStr">
        <is>
          <t>Yes</t>
        </is>
      </c>
      <c r="M8" s="11" t="inlineStr">
        <is>
          <t>No</t>
        </is>
      </c>
      <c r="N8" s="5" t="inlineStr">
        <is>
          <t>UNKNOWN</t>
        </is>
      </c>
      <c r="O8" s="5" t="inlineStr">
        <is>
          <t>POSSIBLY QUIET · MEDIUM risk · low confidence</t>
        </is>
      </c>
      <c r="P8" s="4" t="n">
        <v>56</v>
      </c>
      <c r="Q8" s="5" t="inlineStr">
        <is>
          <t>San Antonio · location data unavailable (neutral score)</t>
        </is>
      </c>
      <c r="R8" s="11" t="inlineStr">
        <is>
          <t>UNKNOWN</t>
        </is>
      </c>
      <c r="S8" s="11" t="inlineStr">
        <is>
          <t>UNKNOWN</t>
        </is>
      </c>
      <c r="T8" s="5" t="inlineStr">
        <is>
          <t>interior-facing; all-in ≈ USD 827/month; furnished</t>
        </is>
      </c>
      <c r="U8" s="5" t="inlineStr">
        <is>
          <t>no map location — noise estimate is text-only</t>
        </is>
      </c>
      <c r="V8" s="11" t="inlineStr">
        <is>
          <t>UNKNOWN</t>
        </is>
      </c>
      <c r="W8" s="5" t="inlineStr">
        <is>
          <t>Adondevivir + Urbania</t>
        </is>
      </c>
      <c r="X8" s="9" t="inlineStr">
        <is>
          <t>View listing</t>
        </is>
      </c>
      <c r="Y8" s="11" t="inlineStr">
        <is>
          <t>—</t>
        </is>
      </c>
      <c r="Z8" s="11" t="inlineStr">
        <is>
          <t>—</t>
        </is>
      </c>
      <c r="AA8" s="11" t="inlineStr">
        <is>
          <t>LIKELY_ACTIVE</t>
        </is>
      </c>
      <c r="AB8" s="5" t="inlineStr">
        <is>
          <t>UNVERIFIED_NOT_RETURNED</t>
        </is>
      </c>
    </row>
    <row r="9">
      <c r="A9" s="11" t="inlineStr">
        <is>
          <t>TOP 10</t>
        </is>
      </c>
      <c r="B9" s="4" t="n">
        <v>5</v>
      </c>
      <c r="C9" s="14" t="n">
        <v>64.8</v>
      </c>
      <c r="D9" s="5" t="inlineStr">
        <is>
          <t>1BR · 41 m² — Miraflores · ID 151178161</t>
        </is>
      </c>
      <c r="E9" s="6" t="n">
        <v>679.47</v>
      </c>
      <c r="F9" s="5" t="inlineStr">
        <is>
          <t>S/ 250 (≈ USD 74)</t>
        </is>
      </c>
      <c r="G9" s="6" t="n">
        <v>753.33</v>
      </c>
      <c r="H9" s="11" t="inlineStr">
        <is>
          <t>STRICT_ALL_IN</t>
        </is>
      </c>
      <c r="I9" s="4" t="n">
        <v>1</v>
      </c>
      <c r="J9" s="4" t="n">
        <v>41</v>
      </c>
      <c r="K9" s="14" t="n">
        <v>16.57</v>
      </c>
      <c r="L9" s="11" t="inlineStr">
        <is>
          <t>UNKNOWN</t>
        </is>
      </c>
      <c r="M9" s="11" t="inlineStr">
        <is>
          <t>No</t>
        </is>
      </c>
      <c r="N9" s="5" t="inlineStr">
        <is>
          <t>UNKNOWN</t>
        </is>
      </c>
      <c r="O9" s="5" t="inlineStr">
        <is>
          <t>POSSIBLY QUIET · MEDIUM risk · low confidence</t>
        </is>
      </c>
      <c r="P9" s="4" t="n">
        <v>52</v>
      </c>
      <c r="Q9" s="5" t="inlineStr">
        <is>
          <t>Lima · supermarket 180 m, pharmacy 215 m, park 293 m, café 59 m, bus/Metropolitano stop 177 m, Malecón 463 m</t>
        </is>
      </c>
      <c r="R9" s="5" t="inlineStr">
        <is>
          <t>2 months min.</t>
        </is>
      </c>
      <c r="S9" s="5" t="inlineStr">
        <is>
          <t>2 months deposit</t>
        </is>
      </c>
      <c r="T9" s="5" t="inlineStr">
        <is>
          <t>interior-facing; all-in ≈ USD 753/month; balcony/terrace</t>
        </is>
      </c>
      <c r="U9" s="5" t="inlineStr">
        <is>
          <t>on a major arterial (see noise evidence) — check traffic noise in the bedroom</t>
        </is>
      </c>
      <c r="V9" s="11" t="inlineStr">
        <is>
          <t>UNKNOWN</t>
        </is>
      </c>
      <c r="W9" s="5" t="inlineStr">
        <is>
          <t>Adondevivir + Urbania</t>
        </is>
      </c>
      <c r="X9" s="9" t="inlineStr">
        <is>
          <t>View listing</t>
        </is>
      </c>
      <c r="Y9" s="11" t="inlineStr">
        <is>
          <t>—</t>
        </is>
      </c>
      <c r="Z9" s="9" t="inlineStr">
        <is>
          <t>Open map</t>
        </is>
      </c>
      <c r="AA9" s="11" t="inlineStr">
        <is>
          <t>LIKELY_ACTIVE</t>
        </is>
      </c>
      <c r="AB9" s="5" t="inlineStr">
        <is>
          <t>UNVERIFIED_NOT_RETURNED</t>
        </is>
      </c>
    </row>
    <row r="10">
      <c r="A10" s="11" t="inlineStr">
        <is>
          <t>TOP 10</t>
        </is>
      </c>
      <c r="B10" s="4" t="n">
        <v>6</v>
      </c>
      <c r="C10" s="14" t="n">
        <v>64.8</v>
      </c>
      <c r="D10" s="5" t="inlineStr">
        <is>
          <t>1BR · 71 m² — Miraflores · ID 150877601</t>
        </is>
      </c>
      <c r="E10" s="6" t="n">
        <v>886.26</v>
      </c>
      <c r="F10" s="5" t="inlineStr">
        <is>
          <t>S/ 330 (≈ USD 97)</t>
        </is>
      </c>
      <c r="G10" s="6" t="n">
        <v>983.75</v>
      </c>
      <c r="H10" s="11" t="inlineStr">
        <is>
          <t>STRICT_ALL_IN</t>
        </is>
      </c>
      <c r="I10" s="4" t="n">
        <v>1</v>
      </c>
      <c r="J10" s="4" t="n">
        <v>71</v>
      </c>
      <c r="K10" s="14" t="n">
        <v>12.48</v>
      </c>
      <c r="L10" s="11" t="inlineStr">
        <is>
          <t>Yes</t>
        </is>
      </c>
      <c r="M10" s="11" t="inlineStr">
        <is>
          <t>UNKNOWN</t>
        </is>
      </c>
      <c r="N10" s="5" t="inlineStr">
        <is>
          <t>UNKNOWN</t>
        </is>
      </c>
      <c r="O10" s="5" t="inlineStr">
        <is>
          <t>POSSIBLY QUIET · MEDIUM risk · low confidence</t>
        </is>
      </c>
      <c r="P10" s="4" t="n">
        <v>56</v>
      </c>
      <c r="Q10" s="5" t="inlineStr">
        <is>
          <t>Lima · location data unavailable (neutral score)</t>
        </is>
      </c>
      <c r="R10" s="5" t="inlineStr">
        <is>
          <t>12 months min.</t>
        </is>
      </c>
      <c r="S10" s="5" t="inlineStr">
        <is>
          <t>2 months deposit; 1 in advance</t>
        </is>
      </c>
      <c r="T10" s="5" t="inlineStr">
        <is>
          <t>71 m² area — very spacious for a 1-bedroom; interior-facing; USD 12.5/m² (excellent value vs other 1BR in sample)</t>
        </is>
      </c>
      <c r="U10" s="5" t="inlineStr">
        <is>
          <t>no map location — noise estimate is text-only</t>
        </is>
      </c>
      <c r="V10" s="11" t="inlineStr">
        <is>
          <t>UNKNOWN</t>
        </is>
      </c>
      <c r="W10" s="11" t="inlineStr">
        <is>
          <t>Adondevivir</t>
        </is>
      </c>
      <c r="X10" s="9" t="inlineStr">
        <is>
          <t>View listing</t>
        </is>
      </c>
      <c r="Y10" s="11" t="inlineStr">
        <is>
          <t>—</t>
        </is>
      </c>
      <c r="Z10" s="11" t="inlineStr">
        <is>
          <t>—</t>
        </is>
      </c>
      <c r="AA10" s="11" t="inlineStr">
        <is>
          <t>LIKELY_ACTIVE</t>
        </is>
      </c>
      <c r="AB10" s="5" t="inlineStr">
        <is>
          <t>UNVERIFIED_NOT_RETURNED</t>
        </is>
      </c>
    </row>
    <row r="11">
      <c r="A11" s="11" t="inlineStr">
        <is>
          <t>TOP 10</t>
        </is>
      </c>
      <c r="B11" s="4" t="n">
        <v>7</v>
      </c>
      <c r="C11" s="14" t="n">
        <v>64.40000000000001</v>
      </c>
      <c r="D11" s="5" t="inlineStr">
        <is>
          <t>1BR · 45 m² — Miraflores · ID 146109648</t>
        </is>
      </c>
      <c r="E11" s="6" t="n">
        <v>724.37</v>
      </c>
      <c r="F11" s="5" t="inlineStr">
        <is>
          <t>S/ 250 (≈ USD 74)</t>
        </is>
      </c>
      <c r="G11" s="6" t="n">
        <v>798.23</v>
      </c>
      <c r="H11" s="11" t="inlineStr">
        <is>
          <t>STRICT_ALL_IN</t>
        </is>
      </c>
      <c r="I11" s="4" t="n">
        <v>1</v>
      </c>
      <c r="J11" s="4" t="n">
        <v>45</v>
      </c>
      <c r="K11" s="14" t="n">
        <v>16.1</v>
      </c>
      <c r="L11" s="11" t="inlineStr">
        <is>
          <t>Yes</t>
        </is>
      </c>
      <c r="M11" s="11" t="inlineStr">
        <is>
          <t>UNKNOWN</t>
        </is>
      </c>
      <c r="N11" s="11" t="n">
        <v>15</v>
      </c>
      <c r="O11" s="5" t="inlineStr">
        <is>
          <t>NOISE UNCERTAIN · MEDIUM risk · low confidence</t>
        </is>
      </c>
      <c r="P11" s="4" t="n">
        <v>52</v>
      </c>
      <c r="Q11" s="5" t="inlineStr">
        <is>
          <t>Lima · location data unavailable (neutral score)</t>
        </is>
      </c>
      <c r="R11" s="11" t="inlineStr">
        <is>
          <t>UNKNOWN</t>
        </is>
      </c>
      <c r="S11" s="11" t="inlineStr">
        <is>
          <t>UNKNOWN</t>
        </is>
      </c>
      <c r="T11" s="5" t="inlineStr">
        <is>
          <t>USD 16.1/m² (good value vs other 1BR in sample); all-in ≈ USD 798/month; furnished</t>
        </is>
      </c>
      <c r="U11" s="5" t="inlineStr">
        <is>
          <t>no map location — noise estimate is text-only</t>
        </is>
      </c>
      <c r="V11" s="11" t="inlineStr">
        <is>
          <t>UNKNOWN</t>
        </is>
      </c>
      <c r="W11" s="11" t="inlineStr">
        <is>
          <t>Adondevivir</t>
        </is>
      </c>
      <c r="X11" s="9" t="inlineStr">
        <is>
          <t>View listing</t>
        </is>
      </c>
      <c r="Y11" s="11" t="inlineStr">
        <is>
          <t>—</t>
        </is>
      </c>
      <c r="Z11" s="11" t="inlineStr">
        <is>
          <t>—</t>
        </is>
      </c>
      <c r="AA11" s="11" t="inlineStr">
        <is>
          <t>LIKELY_ACTIVE</t>
        </is>
      </c>
      <c r="AB11" s="5" t="inlineStr">
        <is>
          <t>UNVERIFIED_NOT_RETURNED</t>
        </is>
      </c>
    </row>
    <row r="12">
      <c r="A12" s="11" t="inlineStr">
        <is>
          <t>TOP 10</t>
        </is>
      </c>
      <c r="B12" s="4" t="n">
        <v>8</v>
      </c>
      <c r="C12" s="14" t="n">
        <v>64.40000000000001</v>
      </c>
      <c r="D12" s="5" t="inlineStr">
        <is>
          <t>1BR · 43 m² — Miraflores · ID 151124896</t>
        </is>
      </c>
      <c r="E12" s="6" t="n">
        <v>746.8200000000001</v>
      </c>
      <c r="F12" s="5" t="inlineStr">
        <is>
          <t>S/ 290 (≈ USD 86)</t>
        </is>
      </c>
      <c r="G12" s="6" t="n">
        <v>832.49</v>
      </c>
      <c r="H12" s="11" t="inlineStr">
        <is>
          <t>STRICT_ALL_IN</t>
        </is>
      </c>
      <c r="I12" s="4" t="n">
        <v>1</v>
      </c>
      <c r="J12" s="4" t="n">
        <v>43</v>
      </c>
      <c r="K12" s="14" t="n">
        <v>17.37</v>
      </c>
      <c r="L12" s="11" t="inlineStr">
        <is>
          <t>Yes</t>
        </is>
      </c>
      <c r="M12" s="11" t="inlineStr">
        <is>
          <t>UNKNOWN</t>
        </is>
      </c>
      <c r="N12" s="11" t="n">
        <v>3</v>
      </c>
      <c r="O12" s="5" t="inlineStr">
        <is>
          <t>NOISE UNCERTAIN · MEDIUM risk · low confidence</t>
        </is>
      </c>
      <c r="P12" s="4" t="n">
        <v>52</v>
      </c>
      <c r="Q12" s="5" t="inlineStr">
        <is>
          <t>Lima · location data unavailable (neutral score)</t>
        </is>
      </c>
      <c r="R12" s="5" t="inlineStr">
        <is>
          <t>12 months min.</t>
        </is>
      </c>
      <c r="S12" s="5" t="inlineStr">
        <is>
          <t>2 months deposit; 1 in advance</t>
        </is>
      </c>
      <c r="T12" s="5" t="inlineStr">
        <is>
          <t>all-in ≈ USD 832/month; furnished; building security/controlled access</t>
        </is>
      </c>
      <c r="U12" s="5" t="inlineStr">
        <is>
          <t>no map location — noise estimate is text-only</t>
        </is>
      </c>
      <c r="V12" s="11" t="inlineStr">
        <is>
          <t>UNKNOWN</t>
        </is>
      </c>
      <c r="W12" s="11" t="inlineStr">
        <is>
          <t>Urbania</t>
        </is>
      </c>
      <c r="X12" s="9" t="inlineStr">
        <is>
          <t>View listing</t>
        </is>
      </c>
      <c r="Y12" s="11" t="inlineStr">
        <is>
          <t>—</t>
        </is>
      </c>
      <c r="Z12" s="11" t="inlineStr">
        <is>
          <t>—</t>
        </is>
      </c>
      <c r="AA12" s="11" t="inlineStr">
        <is>
          <t>LIKELY_ACTIVE</t>
        </is>
      </c>
      <c r="AB12" s="5" t="inlineStr">
        <is>
          <t>UNVERIFIED_NOT_RETURNED</t>
        </is>
      </c>
    </row>
    <row r="13">
      <c r="A13" s="11" t="inlineStr">
        <is>
          <t>TOP 10</t>
        </is>
      </c>
      <c r="B13" s="4" t="n">
        <v>9</v>
      </c>
      <c r="C13" s="14" t="n">
        <v>64.3</v>
      </c>
      <c r="D13" s="5" t="inlineStr">
        <is>
          <t>1BR · 71 m² — Miraflores · ID 150869056</t>
        </is>
      </c>
      <c r="E13" s="6" t="n">
        <v>886.26</v>
      </c>
      <c r="F13" s="5" t="inlineStr">
        <is>
          <t>S/ 330 (≈ USD 97)</t>
        </is>
      </c>
      <c r="G13" s="6" t="n">
        <v>983.75</v>
      </c>
      <c r="H13" s="11" t="inlineStr">
        <is>
          <t>STRICT_ALL_IN</t>
        </is>
      </c>
      <c r="I13" s="4" t="n">
        <v>1</v>
      </c>
      <c r="J13" s="4" t="n">
        <v>71</v>
      </c>
      <c r="K13" s="14" t="n">
        <v>12.48</v>
      </c>
      <c r="L13" s="11" t="inlineStr">
        <is>
          <t>Yes</t>
        </is>
      </c>
      <c r="M13" s="11" t="inlineStr">
        <is>
          <t>UNKNOWN</t>
        </is>
      </c>
      <c r="N13" s="5" t="inlineStr">
        <is>
          <t>UNKNOWN</t>
        </is>
      </c>
      <c r="O13" s="5" t="inlineStr">
        <is>
          <t>NOISE UNCERTAIN · UNKNOWN risk · low confidence</t>
        </is>
      </c>
      <c r="P13" s="11" t="inlineStr">
        <is>
          <t>—</t>
        </is>
      </c>
      <c r="Q13" s="5" t="inlineStr">
        <is>
          <t>Lima · location data unavailable (neutral score)</t>
        </is>
      </c>
      <c r="R13" s="11" t="inlineStr">
        <is>
          <t>UNKNOWN</t>
        </is>
      </c>
      <c r="S13" s="11" t="inlineStr">
        <is>
          <t>UNKNOWN</t>
        </is>
      </c>
      <c r="T13" s="5" t="inlineStr">
        <is>
          <t>71 m² area — very spacious for a 1-bedroom; USD 12.5/m² (excellent value vs other 1BR in sample); furnished</t>
        </is>
      </c>
      <c r="U13" s="5" t="inlineStr">
        <is>
          <t>no map location — noise estimate is text-only</t>
        </is>
      </c>
      <c r="V13" s="11" t="inlineStr">
        <is>
          <t>UNKNOWN</t>
        </is>
      </c>
      <c r="W13" s="5" t="inlineStr">
        <is>
          <t>Adondevivir + Urbania</t>
        </is>
      </c>
      <c r="X13" s="9" t="inlineStr">
        <is>
          <t>View listing</t>
        </is>
      </c>
      <c r="Y13" s="11" t="inlineStr">
        <is>
          <t>—</t>
        </is>
      </c>
      <c r="Z13" s="11" t="inlineStr">
        <is>
          <t>—</t>
        </is>
      </c>
      <c r="AA13" s="11" t="inlineStr">
        <is>
          <t>LIKELY_ACTIVE</t>
        </is>
      </c>
      <c r="AB13" s="5" t="inlineStr">
        <is>
          <t>UNVERIFIED_NOT_RETURNED</t>
        </is>
      </c>
    </row>
    <row r="14">
      <c r="A14" s="11" t="inlineStr">
        <is>
          <t>TOP 10</t>
        </is>
      </c>
      <c r="B14" s="4" t="n">
        <v>10</v>
      </c>
      <c r="C14" s="14" t="n">
        <v>61.9</v>
      </c>
      <c r="D14" s="5" t="inlineStr">
        <is>
          <t>2BR · 96 m² — Miraflores · ID 151159973</t>
        </is>
      </c>
      <c r="E14" s="6" t="n">
        <v>738.55</v>
      </c>
      <c r="F14" s="5" t="inlineStr">
        <is>
          <t>S/ 260 (≈ USD 77)</t>
        </is>
      </c>
      <c r="G14" s="6" t="n">
        <v>815.36</v>
      </c>
      <c r="H14" s="11" t="inlineStr">
        <is>
          <t>STRICT_ALL_IN</t>
        </is>
      </c>
      <c r="I14" s="4" t="n">
        <v>2</v>
      </c>
      <c r="J14" s="4" t="n">
        <v>96</v>
      </c>
      <c r="K14" s="14" t="n">
        <v>7.69</v>
      </c>
      <c r="L14" s="11" t="inlineStr">
        <is>
          <t>No</t>
        </is>
      </c>
      <c r="M14" s="11" t="inlineStr">
        <is>
          <t>Yes</t>
        </is>
      </c>
      <c r="N14" s="5" t="inlineStr">
        <is>
          <t>UNKNOWN</t>
        </is>
      </c>
      <c r="O14" s="5" t="inlineStr">
        <is>
          <t>NOISE UNCERTAIN · UNKNOWN risk · low confidence</t>
        </is>
      </c>
      <c r="P14" s="11" t="inlineStr">
        <is>
          <t>—</t>
        </is>
      </c>
      <c r="Q14" s="5" t="inlineStr">
        <is>
          <t>Lima · location data unavailable (neutral score)</t>
        </is>
      </c>
      <c r="R14" s="11" t="inlineStr">
        <is>
          <t>UNKNOWN</t>
        </is>
      </c>
      <c r="S14" s="11" t="inlineStr">
        <is>
          <t>UNKNOWN</t>
        </is>
      </c>
      <c r="T14" s="5" t="inlineStr">
        <is>
          <t>96 m² area — very spacious for a 2-bedroom; USD 7.7/m² (excellent value vs other 2BR in sample); all-in ≈ USD 815/month</t>
        </is>
      </c>
      <c r="U14" s="11" t="inlineStr">
        <is>
          <t>unfurnished</t>
        </is>
      </c>
      <c r="V14" s="11" t="inlineStr">
        <is>
          <t>UNKNOWN</t>
        </is>
      </c>
      <c r="W14" s="5" t="inlineStr">
        <is>
          <t>Adondevivir + Urbania</t>
        </is>
      </c>
      <c r="X14" s="9" t="inlineStr">
        <is>
          <t>View listing</t>
        </is>
      </c>
      <c r="Y14" s="11" t="inlineStr">
        <is>
          <t>—</t>
        </is>
      </c>
      <c r="Z14" s="11" t="inlineStr">
        <is>
          <t>—</t>
        </is>
      </c>
      <c r="AA14" s="11" t="inlineStr">
        <is>
          <t>LIKELY_ACTIVE</t>
        </is>
      </c>
      <c r="AB14" s="5" t="inlineStr">
        <is>
          <t>UNVERIFIED_NOT_RETURNED</t>
        </is>
      </c>
    </row>
    <row r="15">
      <c r="A15" s="5" t="inlineStr">
        <is>
          <t>ALTERNATIVE</t>
        </is>
      </c>
      <c r="B15" s="4" t="n">
        <v>11</v>
      </c>
      <c r="C15" s="14" t="n">
        <v>61.7</v>
      </c>
      <c r="D15" s="5" t="inlineStr">
        <is>
          <t>2BR · 95 m² — Miraflores · ID 151011858</t>
        </is>
      </c>
      <c r="E15" s="6" t="n">
        <v>853.77</v>
      </c>
      <c r="F15" s="5" t="inlineStr">
        <is>
          <t>S/ 400 (≈ USD 118)</t>
        </is>
      </c>
      <c r="G15" s="6" t="n">
        <v>971.9400000000001</v>
      </c>
      <c r="H15" s="11" t="inlineStr">
        <is>
          <t>STRICT_ALL_IN</t>
        </is>
      </c>
      <c r="I15" s="4" t="n">
        <v>2</v>
      </c>
      <c r="J15" s="4" t="n">
        <v>95</v>
      </c>
      <c r="K15" s="14" t="n">
        <v>8.99</v>
      </c>
      <c r="L15" s="11" t="inlineStr">
        <is>
          <t>No</t>
        </is>
      </c>
      <c r="M15" s="11" t="inlineStr">
        <is>
          <t>Yes</t>
        </is>
      </c>
      <c r="N15" s="5" t="inlineStr">
        <is>
          <t>UNKNOWN</t>
        </is>
      </c>
      <c r="O15" s="5" t="inlineStr">
        <is>
          <t>NOISE UNCERTAIN · UNKNOWN risk · low confidence</t>
        </is>
      </c>
      <c r="P15" s="11" t="inlineStr">
        <is>
          <t>—</t>
        </is>
      </c>
      <c r="Q15" s="5" t="inlineStr">
        <is>
          <t>Lima · location data unavailable (neutral score)</t>
        </is>
      </c>
      <c r="R15" s="11" t="inlineStr">
        <is>
          <t>UNKNOWN</t>
        </is>
      </c>
      <c r="S15" s="11" t="inlineStr">
        <is>
          <t>UNKNOWN</t>
        </is>
      </c>
      <c r="T15" s="5" t="inlineStr">
        <is>
          <t>95 m² area — very spacious for a 2-bedroom; USD 9.0/m² (excellent value vs other 2BR in sample); building security/controlled access</t>
        </is>
      </c>
      <c r="U15" s="11" t="inlineStr">
        <is>
          <t>unfurnished</t>
        </is>
      </c>
      <c r="V15" s="11" t="inlineStr">
        <is>
          <t>UNKNOWN</t>
        </is>
      </c>
      <c r="W15" s="11" t="inlineStr">
        <is>
          <t>Urbania</t>
        </is>
      </c>
      <c r="X15" s="9" t="inlineStr">
        <is>
          <t>View listing</t>
        </is>
      </c>
      <c r="Y15" s="11" t="inlineStr">
        <is>
          <t>—</t>
        </is>
      </c>
      <c r="Z15" s="11" t="inlineStr">
        <is>
          <t>—</t>
        </is>
      </c>
      <c r="AA15" s="11" t="inlineStr">
        <is>
          <t>LIKELY_ACTIVE</t>
        </is>
      </c>
      <c r="AB15" s="11" t="inlineStr">
        <is>
          <t>PROGRAMMATIC_WARN</t>
        </is>
      </c>
    </row>
    <row r="16">
      <c r="A16" s="5" t="inlineStr">
        <is>
          <t>ALTERNATIVE</t>
        </is>
      </c>
      <c r="B16" s="4" t="n">
        <v>12</v>
      </c>
      <c r="C16" s="14" t="n">
        <v>63.5</v>
      </c>
      <c r="D16" s="5" t="inlineStr">
        <is>
          <t>2BR · 80 m² — Miraflores · ID 150982482</t>
        </is>
      </c>
      <c r="E16" s="6" t="n">
        <v>995.5700000000001</v>
      </c>
      <c r="F16" s="5" t="inlineStr">
        <is>
          <t>S/ 350 (≈ USD 103)</t>
        </is>
      </c>
      <c r="G16" s="6" t="n">
        <v>1098.97</v>
      </c>
      <c r="H16" s="5" t="inlineStr">
        <is>
          <t>BASE_RENT_COMPLIANT</t>
        </is>
      </c>
      <c r="I16" s="4" t="n">
        <v>2</v>
      </c>
      <c r="J16" s="4" t="n">
        <v>80</v>
      </c>
      <c r="K16" s="14" t="n">
        <v>12.44</v>
      </c>
      <c r="L16" s="11" t="inlineStr">
        <is>
          <t>Yes</t>
        </is>
      </c>
      <c r="M16" s="11" t="inlineStr">
        <is>
          <t>UNKNOWN</t>
        </is>
      </c>
      <c r="N16" s="5" t="inlineStr">
        <is>
          <t>UNKNOWN</t>
        </is>
      </c>
      <c r="O16" s="5" t="inlineStr">
        <is>
          <t>NOISE UNCERTAIN · MEDIUM risk · low confidence</t>
        </is>
      </c>
      <c r="P16" s="4" t="n">
        <v>52</v>
      </c>
      <c r="Q16" s="5" t="inlineStr">
        <is>
          <t>Lima · location data unavailable (neutral score)</t>
        </is>
      </c>
      <c r="R16" s="5" t="inlineStr">
        <is>
          <t>12 months min.</t>
        </is>
      </c>
      <c r="S16" s="5" t="inlineStr">
        <is>
          <t>2 months deposit; 1 in advance</t>
        </is>
      </c>
      <c r="T16" s="5" t="inlineStr">
        <is>
          <t>80 m² area — good for a 2-bedroom; USD 12.4/m² (good value vs other 2BR in sample); furnished</t>
        </is>
      </c>
      <c r="U16" s="5" t="inlineStr">
        <is>
          <t>rent + maintenance ≈ USD 1,099 (USD 996 rent + S/ 350 maintenance) exceeds USD 1,000</t>
        </is>
      </c>
      <c r="V16" s="11" t="inlineStr">
        <is>
          <t>UNKNOWN</t>
        </is>
      </c>
      <c r="W16" s="5" t="inlineStr">
        <is>
          <t>Adondevivir + Urbania</t>
        </is>
      </c>
      <c r="X16" s="9" t="inlineStr">
        <is>
          <t>View listing</t>
        </is>
      </c>
      <c r="Y16" s="11" t="inlineStr">
        <is>
          <t>—</t>
        </is>
      </c>
      <c r="Z16" s="11" t="inlineStr">
        <is>
          <t>—</t>
        </is>
      </c>
      <c r="AA16" s="11" t="inlineStr">
        <is>
          <t>LIKELY_ACTIVE</t>
        </is>
      </c>
      <c r="AB16" s="11" t="inlineStr">
        <is>
          <t>PROGRAMMATIC_WARN</t>
        </is>
      </c>
    </row>
    <row r="17">
      <c r="A17" s="5" t="inlineStr">
        <is>
          <t>ALTERNATIVE</t>
        </is>
      </c>
      <c r="B17" s="4" t="n">
        <v>13</v>
      </c>
      <c r="C17" s="14" t="n">
        <v>62.6</v>
      </c>
      <c r="D17" s="5" t="inlineStr">
        <is>
          <t>2BR · 87 m² — Miraflores · ID 151058338</t>
        </is>
      </c>
      <c r="E17" s="6" t="n">
        <v>996.45</v>
      </c>
      <c r="F17" s="5" t="inlineStr">
        <is>
          <t>S/ 350 (≈ USD 103)</t>
        </is>
      </c>
      <c r="G17" s="6" t="n">
        <v>1099.85</v>
      </c>
      <c r="H17" s="5" t="inlineStr">
        <is>
          <t>BASE_RENT_COMPLIANT</t>
        </is>
      </c>
      <c r="I17" s="4" t="n">
        <v>2</v>
      </c>
      <c r="J17" s="4" t="n">
        <v>87</v>
      </c>
      <c r="K17" s="14" t="n">
        <v>11.45</v>
      </c>
      <c r="L17" s="11" t="inlineStr">
        <is>
          <t>Yes</t>
        </is>
      </c>
      <c r="M17" s="11" t="inlineStr">
        <is>
          <t>Yes</t>
        </is>
      </c>
      <c r="N17" s="11" t="n">
        <v>16</v>
      </c>
      <c r="O17" s="5" t="inlineStr">
        <is>
          <t>NOISE UNCERTAIN · MEDIUM risk · low confidence</t>
        </is>
      </c>
      <c r="P17" s="4" t="n">
        <v>52</v>
      </c>
      <c r="Q17" s="5" t="inlineStr">
        <is>
          <t>Lima · location data unavailable (neutral score)</t>
        </is>
      </c>
      <c r="R17" s="11" t="inlineStr">
        <is>
          <t>UNKNOWN</t>
        </is>
      </c>
      <c r="S17" s="11" t="inlineStr">
        <is>
          <t>UNKNOWN</t>
        </is>
      </c>
      <c r="T17" s="5" t="inlineStr">
        <is>
          <t>87 m² area — very spacious for a 2-bedroom; USD 11.4/m² (good value vs other 2BR in sample); furnished</t>
        </is>
      </c>
      <c r="U17" s="5" t="inlineStr">
        <is>
          <t>rent + maintenance ≈ USD 1,100 (USD 996 rent + S/ 350 maintenance) exceeds USD 1,000</t>
        </is>
      </c>
      <c r="V17" s="11" t="inlineStr">
        <is>
          <t>UNKNOWN</t>
        </is>
      </c>
      <c r="W17" s="5" t="inlineStr">
        <is>
          <t>Adondevivir + Urbania</t>
        </is>
      </c>
      <c r="X17" s="9" t="inlineStr">
        <is>
          <t>View listing</t>
        </is>
      </c>
      <c r="Y17" s="11" t="inlineStr">
        <is>
          <t>—</t>
        </is>
      </c>
      <c r="Z17" s="11" t="inlineStr">
        <is>
          <t>—</t>
        </is>
      </c>
      <c r="AA17" s="11" t="inlineStr">
        <is>
          <t>LIKELY_ACTIVE</t>
        </is>
      </c>
      <c r="AB17" s="11" t="inlineStr">
        <is>
          <t>PROGRAMMATIC_WARN</t>
        </is>
      </c>
    </row>
    <row r="18">
      <c r="A18" s="5" t="inlineStr">
        <is>
          <t>ALTERNATIVE</t>
        </is>
      </c>
      <c r="B18" s="4" t="n">
        <v>14</v>
      </c>
      <c r="C18" s="14" t="n">
        <v>60.1</v>
      </c>
      <c r="D18" s="5" t="inlineStr">
        <is>
          <t>1BR · 68 m² — Miraflores · ID 150518776</t>
        </is>
      </c>
      <c r="E18" s="6" t="n">
        <v>886.26</v>
      </c>
      <c r="F18" s="11" t="inlineStr">
        <is>
          <t>UNKNOWN</t>
        </is>
      </c>
      <c r="G18" s="11" t="inlineStr">
        <is>
          <t>UNKNOWN</t>
        </is>
      </c>
      <c r="H18" s="5" t="inlineStr">
        <is>
          <t>BASE_RENT_COMPLIANT</t>
        </is>
      </c>
      <c r="I18" s="4" t="n">
        <v>1</v>
      </c>
      <c r="J18" s="4" t="n">
        <v>68</v>
      </c>
      <c r="K18" s="14" t="n">
        <v>13.03</v>
      </c>
      <c r="L18" s="11" t="inlineStr">
        <is>
          <t>UNKNOWN</t>
        </is>
      </c>
      <c r="M18" s="11" t="inlineStr">
        <is>
          <t>UNKNOWN</t>
        </is>
      </c>
      <c r="N18" s="5" t="inlineStr">
        <is>
          <t>UNKNOWN</t>
        </is>
      </c>
      <c r="O18" s="5" t="inlineStr">
        <is>
          <t>NOISE UNCERTAIN · UNKNOWN risk · low confidence</t>
        </is>
      </c>
      <c r="P18" s="11" t="inlineStr">
        <is>
          <t>—</t>
        </is>
      </c>
      <c r="Q18" s="5" t="inlineStr">
        <is>
          <t>Lima · location data unavailable (neutral score)</t>
        </is>
      </c>
      <c r="R18" s="11" t="inlineStr">
        <is>
          <t>UNKNOWN</t>
        </is>
      </c>
      <c r="S18" s="11" t="inlineStr">
        <is>
          <t>UNKNOWN</t>
        </is>
      </c>
      <c r="T18" s="5" t="inlineStr">
        <is>
          <t>68 m² area — very spacious for a 1-bedroom; USD 13.0/m² (good value vs other 1BR in sample); balcony/terrace</t>
        </is>
      </c>
      <c r="U18" s="5" t="inlineStr">
        <is>
          <t>maintenance fee not published — confirm before visiting</t>
        </is>
      </c>
      <c r="V18" s="11" t="inlineStr">
        <is>
          <t>UNKNOWN</t>
        </is>
      </c>
      <c r="W18" s="5" t="inlineStr">
        <is>
          <t>Adondevivir + Urbania</t>
        </is>
      </c>
      <c r="X18" s="9" t="inlineStr">
        <is>
          <t>View listing</t>
        </is>
      </c>
      <c r="Y18" s="11" t="inlineStr">
        <is>
          <t>—</t>
        </is>
      </c>
      <c r="Z18" s="11" t="inlineStr">
        <is>
          <t>—</t>
        </is>
      </c>
      <c r="AA18" s="11" t="inlineStr">
        <is>
          <t>LIKELY_ACTIVE</t>
        </is>
      </c>
      <c r="AB18" s="11" t="inlineStr">
        <is>
          <t>PROGRAMMATIC_WARN</t>
        </is>
      </c>
    </row>
    <row r="19">
      <c r="A19" s="5" t="inlineStr">
        <is>
          <t>ALTERNATIVE</t>
        </is>
      </c>
      <c r="B19" s="4" t="n">
        <v>15</v>
      </c>
      <c r="C19" s="14" t="n">
        <v>54.8</v>
      </c>
      <c r="D19" s="5" t="inlineStr">
        <is>
          <t>1BR · 40 m² — Alexander Von Humboldt</t>
        </is>
      </c>
      <c r="E19" s="6" t="n">
        <v>827.1799999999999</v>
      </c>
      <c r="F19" s="5" t="inlineStr">
        <is>
          <t>S/ 260 (≈ USD 77)</t>
        </is>
      </c>
      <c r="G19" s="6" t="n">
        <v>903.99</v>
      </c>
      <c r="H19" s="11" t="inlineStr">
        <is>
          <t>STRICT_ALL_IN</t>
        </is>
      </c>
      <c r="I19" s="4" t="n">
        <v>1</v>
      </c>
      <c r="J19" s="4" t="n">
        <v>40</v>
      </c>
      <c r="K19" s="14" t="n">
        <v>20.68</v>
      </c>
      <c r="L19" s="11" t="inlineStr">
        <is>
          <t>UNKNOWN</t>
        </is>
      </c>
      <c r="M19" s="11" t="inlineStr">
        <is>
          <t>Yes</t>
        </is>
      </c>
      <c r="N19" s="5" t="inlineStr">
        <is>
          <t>UNKNOWN</t>
        </is>
      </c>
      <c r="O19" s="5" t="inlineStr">
        <is>
          <t>NOISE UNCERTAIN · UNKNOWN risk · low confidence</t>
        </is>
      </c>
      <c r="P19" s="11" t="inlineStr">
        <is>
          <t>—</t>
        </is>
      </c>
      <c r="Q19" s="5" t="inlineStr">
        <is>
          <t>Alexander Von Humboldt · location data unavailable (neutral score)</t>
        </is>
      </c>
      <c r="R19" s="11" t="inlineStr">
        <is>
          <t>UNKNOWN</t>
        </is>
      </c>
      <c r="S19" s="11" t="inlineStr">
        <is>
          <t>UNKNOWN</t>
        </is>
      </c>
      <c r="T19" s="11" t="inlineStr">
        <is>
          <t>balcony/terrace</t>
        </is>
      </c>
      <c r="U19" s="5" t="inlineStr">
        <is>
          <t>no map location — noise estimate is text-only</t>
        </is>
      </c>
      <c r="V19" s="11" t="inlineStr">
        <is>
          <t>UNKNOWN</t>
        </is>
      </c>
      <c r="W19" s="5" t="inlineStr">
        <is>
          <t>Adondevivir + Urbania</t>
        </is>
      </c>
      <c r="X19" s="9" t="inlineStr">
        <is>
          <t>View listing</t>
        </is>
      </c>
      <c r="Y19" s="11" t="inlineStr">
        <is>
          <t>—</t>
        </is>
      </c>
      <c r="Z19" s="11" t="inlineStr">
        <is>
          <t>—</t>
        </is>
      </c>
      <c r="AA19" s="11" t="inlineStr">
        <is>
          <t>LIKELY_ACTIVE</t>
        </is>
      </c>
      <c r="AB19" s="11" t="inlineStr">
        <is>
          <t>PROGRAMMATIC_WARN</t>
        </is>
      </c>
    </row>
    <row r="20">
      <c r="A20" s="5" t="inlineStr">
        <is>
          <t>ALTERNATIVE</t>
        </is>
      </c>
      <c r="B20" s="4" t="n">
        <v>16</v>
      </c>
      <c r="C20" s="14" t="n">
        <v>58.5</v>
      </c>
      <c r="D20" s="5" t="inlineStr">
        <is>
          <t>2BR · 65 m² — Miraflores · ID 151047474</t>
        </is>
      </c>
      <c r="E20" s="6" t="n">
        <v>994.09</v>
      </c>
      <c r="F20" s="5" t="inlineStr">
        <is>
          <t>S/ 265 (≈ USD 78)</t>
        </is>
      </c>
      <c r="G20" s="6" t="n">
        <v>1072.38</v>
      </c>
      <c r="H20" s="5" t="inlineStr">
        <is>
          <t>BASE_RENT_COMPLIANT</t>
        </is>
      </c>
      <c r="I20" s="4" t="n">
        <v>2</v>
      </c>
      <c r="J20" s="4" t="n">
        <v>65</v>
      </c>
      <c r="K20" s="14" t="n">
        <v>15.29</v>
      </c>
      <c r="L20" s="11" t="inlineStr">
        <is>
          <t>Yes</t>
        </is>
      </c>
      <c r="M20" s="11" t="inlineStr">
        <is>
          <t>UNKNOWN</t>
        </is>
      </c>
      <c r="N20" s="5" t="inlineStr">
        <is>
          <t>UNKNOWN</t>
        </is>
      </c>
      <c r="O20" s="5" t="inlineStr">
        <is>
          <t>NOISE UNCERTAIN · MEDIUM risk · low confidence</t>
        </is>
      </c>
      <c r="P20" s="4" t="n">
        <v>52</v>
      </c>
      <c r="Q20" s="5" t="inlineStr">
        <is>
          <t>Lima · location data unavailable (neutral score)</t>
        </is>
      </c>
      <c r="R20" s="5" t="inlineStr">
        <is>
          <t>12 months min.</t>
        </is>
      </c>
      <c r="S20" s="5" t="inlineStr">
        <is>
          <t>2 months deposit; 1 in advance</t>
        </is>
      </c>
      <c r="T20" s="5" t="inlineStr">
        <is>
          <t>furnished; building security/controlled access; balcony/terrace</t>
        </is>
      </c>
      <c r="U20" s="5" t="inlineStr">
        <is>
          <t>rent + maintenance ≈ USD 1,072 (USD 994 rent + S/ 265 maintenance) exceeds USD 1,000</t>
        </is>
      </c>
      <c r="V20" s="11" t="inlineStr">
        <is>
          <t>UNKNOWN</t>
        </is>
      </c>
      <c r="W20" s="5" t="inlineStr">
        <is>
          <t>Adondevivir + Urbania</t>
        </is>
      </c>
      <c r="X20" s="9" t="inlineStr">
        <is>
          <t>View listing</t>
        </is>
      </c>
      <c r="Y20" s="11" t="inlineStr">
        <is>
          <t>—</t>
        </is>
      </c>
      <c r="Z20" s="11" t="inlineStr">
        <is>
          <t>—</t>
        </is>
      </c>
      <c r="AA20" s="11" t="inlineStr">
        <is>
          <t>LIKELY_ACTIVE</t>
        </is>
      </c>
      <c r="AB20" s="11" t="inlineStr">
        <is>
          <t>PROGRAMMATIC_WARN</t>
        </is>
      </c>
    </row>
    <row r="21">
      <c r="A21" s="5" t="inlineStr">
        <is>
          <t>ALTERNATIVE</t>
        </is>
      </c>
      <c r="B21" s="4" t="n">
        <v>17</v>
      </c>
      <c r="C21" s="14" t="n">
        <v>52.2</v>
      </c>
      <c r="D21" s="5" t="inlineStr">
        <is>
          <t>1BR · 39 m² — Miraflores · ID 150752635</t>
        </is>
      </c>
      <c r="E21" s="6" t="n">
        <v>649.9299999999999</v>
      </c>
      <c r="F21" s="5" t="inlineStr">
        <is>
          <t>S/ 280 (≈ USD 83)</t>
        </is>
      </c>
      <c r="G21" s="6" t="n">
        <v>732.65</v>
      </c>
      <c r="H21" s="11" t="inlineStr">
        <is>
          <t>STRICT_ALL_IN</t>
        </is>
      </c>
      <c r="I21" s="4" t="n">
        <v>1</v>
      </c>
      <c r="J21" s="4" t="n">
        <v>39</v>
      </c>
      <c r="K21" s="14" t="n">
        <v>16.66</v>
      </c>
      <c r="L21" s="11" t="inlineStr">
        <is>
          <t>UNKNOWN</t>
        </is>
      </c>
      <c r="M21" s="11" t="inlineStr">
        <is>
          <t>Yes</t>
        </is>
      </c>
      <c r="N21" s="11" t="n">
        <v>5</v>
      </c>
      <c r="O21" s="5" t="inlineStr">
        <is>
          <t>NOISE UNCERTAIN · UNKNOWN risk · low confidence</t>
        </is>
      </c>
      <c r="P21" s="11" t="inlineStr">
        <is>
          <t>—</t>
        </is>
      </c>
      <c r="Q21" s="5" t="inlineStr">
        <is>
          <t>Lima · location data unavailable (neutral score)</t>
        </is>
      </c>
      <c r="R21" s="5" t="inlineStr">
        <is>
          <t>12 months min.</t>
        </is>
      </c>
      <c r="S21" s="11" t="inlineStr">
        <is>
          <t>1 in advance</t>
        </is>
      </c>
      <c r="T21" s="5" t="inlineStr">
        <is>
          <t>all-in ≈ USD 733/month; balcony/terrace</t>
        </is>
      </c>
      <c r="U21" s="5" t="inlineStr">
        <is>
          <t>no map location — noise estimate is text-only</t>
        </is>
      </c>
      <c r="V21" s="11" t="inlineStr">
        <is>
          <t>UNKNOWN</t>
        </is>
      </c>
      <c r="W21" s="11" t="inlineStr">
        <is>
          <t>Urbania</t>
        </is>
      </c>
      <c r="X21" s="9" t="inlineStr">
        <is>
          <t>View listing</t>
        </is>
      </c>
      <c r="Y21" s="11" t="inlineStr">
        <is>
          <t>—</t>
        </is>
      </c>
      <c r="Z21" s="11" t="inlineStr">
        <is>
          <t>—</t>
        </is>
      </c>
      <c r="AA21" s="11" t="inlineStr">
        <is>
          <t>LIKELY_ACTIVE</t>
        </is>
      </c>
      <c r="AB21" s="11" t="inlineStr">
        <is>
          <t>PROGRAMMATIC_WARN</t>
        </is>
      </c>
    </row>
    <row r="22">
      <c r="A22" s="5" t="inlineStr">
        <is>
          <t>ALTERNATIVE</t>
        </is>
      </c>
      <c r="B22" s="4" t="n">
        <v>18</v>
      </c>
      <c r="C22" s="14" t="n">
        <v>56.6</v>
      </c>
      <c r="D22" s="5" t="inlineStr">
        <is>
          <t>2BR · 81 m² — Miraflores · ID 151167358</t>
        </is>
      </c>
      <c r="E22" s="6" t="n">
        <v>918.76</v>
      </c>
      <c r="F22" s="5" t="inlineStr">
        <is>
          <t>S/ 280 (≈ USD 83)</t>
        </is>
      </c>
      <c r="G22" s="6" t="n">
        <v>1001.48</v>
      </c>
      <c r="H22" s="5" t="inlineStr">
        <is>
          <t>BASE_RENT_COMPLIANT</t>
        </is>
      </c>
      <c r="I22" s="4" t="n">
        <v>2</v>
      </c>
      <c r="J22" s="4" t="n">
        <v>81</v>
      </c>
      <c r="K22" s="14" t="n">
        <v>11.34</v>
      </c>
      <c r="L22" s="11" t="inlineStr">
        <is>
          <t>No</t>
        </is>
      </c>
      <c r="M22" s="11" t="inlineStr">
        <is>
          <t>Yes</t>
        </is>
      </c>
      <c r="N22" s="11" t="n">
        <v>4</v>
      </c>
      <c r="O22" s="5" t="inlineStr">
        <is>
          <t>POSSIBLY QUIET · MEDIUM risk · low confidence</t>
        </is>
      </c>
      <c r="P22" s="4" t="n">
        <v>56</v>
      </c>
      <c r="Q22" s="5" t="inlineStr">
        <is>
          <t>Lima · location data unavailable (neutral score)</t>
        </is>
      </c>
      <c r="R22" s="11" t="inlineStr">
        <is>
          <t>UNKNOWN</t>
        </is>
      </c>
      <c r="S22" s="11" t="inlineStr">
        <is>
          <t>UNKNOWN</t>
        </is>
      </c>
      <c r="T22" s="5" t="inlineStr">
        <is>
          <t>81 m² area — good for a 2-bedroom; interior-facing; USD 11.3/m² (good value vs other 2BR in sample)</t>
        </is>
      </c>
      <c r="U22" s="5" t="inlineStr">
        <is>
          <t>rent + maintenance ≈ USD 1,001 (USD 919 rent + S/ 280 maintenance) exceeds USD 1,000</t>
        </is>
      </c>
      <c r="V22" s="11" t="inlineStr">
        <is>
          <t>UNKNOWN</t>
        </is>
      </c>
      <c r="W22" s="5" t="inlineStr">
        <is>
          <t>Adondevivir + Urbania</t>
        </is>
      </c>
      <c r="X22" s="9" t="inlineStr">
        <is>
          <t>View listing</t>
        </is>
      </c>
      <c r="Y22" s="11" t="inlineStr">
        <is>
          <t>—</t>
        </is>
      </c>
      <c r="Z22" s="11" t="inlineStr">
        <is>
          <t>—</t>
        </is>
      </c>
      <c r="AA22" s="11" t="inlineStr">
        <is>
          <t>LIKELY_ACTIVE</t>
        </is>
      </c>
      <c r="AB22" s="11" t="inlineStr">
        <is>
          <t>PROGRAMMATIC_WARN</t>
        </is>
      </c>
    </row>
    <row r="23">
      <c r="A23" s="5" t="inlineStr">
        <is>
          <t>ALTERNATIVE</t>
        </is>
      </c>
      <c r="B23" s="4" t="n">
        <v>19</v>
      </c>
      <c r="C23" s="14" t="n">
        <v>55</v>
      </c>
      <c r="D23" s="5" t="inlineStr">
        <is>
          <t>2BR · 79 m² — Miraflores · ID 149641202</t>
        </is>
      </c>
      <c r="E23" s="6" t="n">
        <v>992.61</v>
      </c>
      <c r="F23" s="11" t="inlineStr">
        <is>
          <t>UNKNOWN</t>
        </is>
      </c>
      <c r="G23" s="11" t="inlineStr">
        <is>
          <t>UNKNOWN</t>
        </is>
      </c>
      <c r="H23" s="5" t="inlineStr">
        <is>
          <t>BASE_RENT_COMPLIANT</t>
        </is>
      </c>
      <c r="I23" s="4" t="n">
        <v>2</v>
      </c>
      <c r="J23" s="4" t="n">
        <v>79</v>
      </c>
      <c r="K23" s="14" t="n">
        <v>12.56</v>
      </c>
      <c r="L23" s="11" t="inlineStr">
        <is>
          <t>UNKNOWN</t>
        </is>
      </c>
      <c r="M23" s="11" t="inlineStr">
        <is>
          <t>Yes</t>
        </is>
      </c>
      <c r="N23" s="5" t="inlineStr">
        <is>
          <t>UNKNOWN</t>
        </is>
      </c>
      <c r="O23" s="5" t="inlineStr">
        <is>
          <t>LIKELY NOISY · HIGH risk · low confidence</t>
        </is>
      </c>
      <c r="P23" s="4" t="n">
        <v>30</v>
      </c>
      <c r="Q23" s="5" t="inlineStr">
        <is>
          <t>Lima · supermarket 180 m, pharmacy 215 m, park 293 m, café 59 m, bus/Metropolitano stop 177 m, Malecón 463 m</t>
        </is>
      </c>
      <c r="R23" s="11" t="inlineStr">
        <is>
          <t>UNKNOWN</t>
        </is>
      </c>
      <c r="S23" s="11" t="inlineStr">
        <is>
          <t>UNKNOWN</t>
        </is>
      </c>
      <c r="T23" s="11" t="inlineStr">
        <is>
          <t>79 m² area — good for a 2-bedroom</t>
        </is>
      </c>
      <c r="U23" s="5" t="inlineStr">
        <is>
          <t>on a major arterial (see noise evidence) — check traffic noise in the bedroom</t>
        </is>
      </c>
      <c r="V23" s="11" t="inlineStr">
        <is>
          <t>UNKNOWN</t>
        </is>
      </c>
      <c r="W23" s="11" t="inlineStr">
        <is>
          <t>Urbania</t>
        </is>
      </c>
      <c r="X23" s="9" t="inlineStr">
        <is>
          <t>View listing</t>
        </is>
      </c>
      <c r="Y23" s="11" t="inlineStr">
        <is>
          <t>—</t>
        </is>
      </c>
      <c r="Z23" s="9" t="inlineStr">
        <is>
          <t>Open map</t>
        </is>
      </c>
      <c r="AA23" s="11" t="inlineStr">
        <is>
          <t>LIKELY_ACTIVE</t>
        </is>
      </c>
      <c r="AB23" s="11" t="inlineStr">
        <is>
          <t>PROGRAMMATIC_WARN</t>
        </is>
      </c>
    </row>
    <row r="24">
      <c r="A24" s="5" t="inlineStr">
        <is>
          <t>ALTERNATIVE</t>
        </is>
      </c>
      <c r="B24" s="4" t="n">
        <v>20</v>
      </c>
      <c r="C24" s="14" t="n">
        <v>54.8</v>
      </c>
      <c r="D24" s="5" t="inlineStr">
        <is>
          <t>2BR · 95 m² — Miraflores · ID 150634895</t>
        </is>
      </c>
      <c r="E24" s="6" t="n">
        <v>974.89</v>
      </c>
      <c r="F24" s="5" t="inlineStr">
        <is>
          <t>S/ 450 (≈ USD 133)</t>
        </is>
      </c>
      <c r="G24" s="6" t="n">
        <v>1107.83</v>
      </c>
      <c r="H24" s="5" t="inlineStr">
        <is>
          <t>BASE_RENT_COMPLIANT</t>
        </is>
      </c>
      <c r="I24" s="4" t="n">
        <v>2</v>
      </c>
      <c r="J24" s="4" t="n">
        <v>95</v>
      </c>
      <c r="K24" s="14" t="n">
        <v>10.26</v>
      </c>
      <c r="L24" s="11" t="inlineStr">
        <is>
          <t>UNKNOWN</t>
        </is>
      </c>
      <c r="M24" s="11" t="inlineStr">
        <is>
          <t>Yes</t>
        </is>
      </c>
      <c r="N24" s="11" t="n">
        <v>3</v>
      </c>
      <c r="O24" s="5" t="inlineStr">
        <is>
          <t>POSSIBLY QUIET · MEDIUM risk · low confidence</t>
        </is>
      </c>
      <c r="P24" s="4" t="n">
        <v>56</v>
      </c>
      <c r="Q24" s="5" t="inlineStr">
        <is>
          <t>Lima · location data unavailable (neutral score)</t>
        </is>
      </c>
      <c r="R24" s="5" t="inlineStr">
        <is>
          <t>12 months min.</t>
        </is>
      </c>
      <c r="S24" s="5" t="inlineStr">
        <is>
          <t>2 months deposit; 1 in advance</t>
        </is>
      </c>
      <c r="T24" s="5" t="inlineStr">
        <is>
          <t>95 m² area — very spacious for a 2-bedroom; interior-facing; USD 10.3/m² (excellent value vs other 2BR in sample)</t>
        </is>
      </c>
      <c r="U24" s="5" t="inlineStr">
        <is>
          <t>rent + maintenance ≈ USD 1,108 (USD 975 rent + S/ 450 maintenance) exceeds USD 1,000</t>
        </is>
      </c>
      <c r="V24" s="11" t="inlineStr">
        <is>
          <t>UNKNOWN</t>
        </is>
      </c>
      <c r="W24" s="11" t="inlineStr">
        <is>
          <t>Urbania</t>
        </is>
      </c>
      <c r="X24" s="9" t="inlineStr">
        <is>
          <t>View listing</t>
        </is>
      </c>
      <c r="Y24" s="11" t="inlineStr">
        <is>
          <t>—</t>
        </is>
      </c>
      <c r="Z24" s="11" t="inlineStr">
        <is>
          <t>—</t>
        </is>
      </c>
      <c r="AA24" s="11" t="inlineStr">
        <is>
          <t>LIKELY_ACTIVE</t>
        </is>
      </c>
      <c r="AB24" s="11" t="inlineStr">
        <is>
          <t>PROGRAMMATIC_WARN</t>
        </is>
      </c>
    </row>
    <row r="25">
      <c r="A25" s="5" t="inlineStr">
        <is>
          <t>ALTERNATIVE</t>
        </is>
      </c>
      <c r="B25" s="4" t="n">
        <v>21</v>
      </c>
      <c r="C25" s="14" t="n">
        <v>53.4</v>
      </c>
      <c r="D25" s="5" t="inlineStr">
        <is>
          <t>2BR · 60 m² — Miraflores · ID 150773832</t>
        </is>
      </c>
      <c r="E25" s="6" t="n">
        <v>896.01</v>
      </c>
      <c r="F25" s="5" t="inlineStr">
        <is>
          <t>S/ 370 (≈ USD 109)</t>
        </is>
      </c>
      <c r="G25" s="6" t="n">
        <v>1005.32</v>
      </c>
      <c r="H25" s="5" t="inlineStr">
        <is>
          <t>BASE_RENT_COMPLIANT</t>
        </is>
      </c>
      <c r="I25" s="4" t="n">
        <v>2</v>
      </c>
      <c r="J25" s="4" t="n">
        <v>60</v>
      </c>
      <c r="K25" s="14" t="n">
        <v>14.93</v>
      </c>
      <c r="L25" s="11" t="inlineStr">
        <is>
          <t>UNKNOWN</t>
        </is>
      </c>
      <c r="M25" s="11" t="inlineStr">
        <is>
          <t>Yes</t>
        </is>
      </c>
      <c r="N25" s="5" t="inlineStr">
        <is>
          <t>UNKNOWN</t>
        </is>
      </c>
      <c r="O25" s="5" t="inlineStr">
        <is>
          <t>NOISE UNCERTAIN · MEDIUM risk · low confidence</t>
        </is>
      </c>
      <c r="P25" s="4" t="n">
        <v>52</v>
      </c>
      <c r="Q25" s="5" t="inlineStr">
        <is>
          <t>Lima · location data unavailable (neutral score)</t>
        </is>
      </c>
      <c r="R25" s="5" t="inlineStr">
        <is>
          <t>12 months min.</t>
        </is>
      </c>
      <c r="S25" s="5" t="inlineStr">
        <is>
          <t>2 months deposit; 1 in advance</t>
        </is>
      </c>
      <c r="T25" s="5" t="inlineStr">
        <is>
          <t>building security/controlled access; balcony/terrace</t>
        </is>
      </c>
      <c r="U25" s="5" t="inlineStr">
        <is>
          <t>rent + maintenance ≈ USD 1,005 (USD 896 rent + S/ 370 maintenance) exceeds USD 1,000</t>
        </is>
      </c>
      <c r="V25" s="11" t="inlineStr">
        <is>
          <t>UNKNOWN</t>
        </is>
      </c>
      <c r="W25" s="11" t="inlineStr">
        <is>
          <t>Adondevivir</t>
        </is>
      </c>
      <c r="X25" s="9" t="inlineStr">
        <is>
          <t>View listing</t>
        </is>
      </c>
      <c r="Y25" s="11" t="inlineStr">
        <is>
          <t>—</t>
        </is>
      </c>
      <c r="Z25" s="11" t="inlineStr">
        <is>
          <t>—</t>
        </is>
      </c>
      <c r="AA25" s="11" t="inlineStr">
        <is>
          <t>LIKELY_ACTIVE</t>
        </is>
      </c>
      <c r="AB25" s="11" t="inlineStr">
        <is>
          <t>PROGRAMMATIC_WARN</t>
        </is>
      </c>
    </row>
    <row r="26">
      <c r="A26" s="5" t="inlineStr">
        <is>
          <t>ALTERNATIVE</t>
        </is>
      </c>
      <c r="B26" s="4" t="n">
        <v>22</v>
      </c>
      <c r="C26" s="14" t="n">
        <v>50.1</v>
      </c>
      <c r="D26" s="5" t="inlineStr">
        <is>
          <t>2BR · 63 m² — Miraflores · ID 149904784</t>
        </is>
      </c>
      <c r="E26" s="6" t="n">
        <v>940.03</v>
      </c>
      <c r="F26" s="5" t="inlineStr">
        <is>
          <t>S/ 370 (≈ USD 109)</t>
        </is>
      </c>
      <c r="G26" s="6" t="n">
        <v>1049.34</v>
      </c>
      <c r="H26" s="5" t="inlineStr">
        <is>
          <t>BASE_RENT_COMPLIANT</t>
        </is>
      </c>
      <c r="I26" s="4" t="n">
        <v>2</v>
      </c>
      <c r="J26" s="4" t="n">
        <v>63</v>
      </c>
      <c r="K26" s="14" t="n">
        <v>14.92</v>
      </c>
      <c r="L26" s="11" t="inlineStr">
        <is>
          <t>No</t>
        </is>
      </c>
      <c r="M26" s="11" t="inlineStr">
        <is>
          <t>Yes</t>
        </is>
      </c>
      <c r="N26" s="11" t="n">
        <v>6</v>
      </c>
      <c r="O26" s="5" t="inlineStr">
        <is>
          <t>NOISE UNCERTAIN · UNKNOWN risk · low confidence</t>
        </is>
      </c>
      <c r="P26" s="11" t="inlineStr">
        <is>
          <t>—</t>
        </is>
      </c>
      <c r="Q26" s="5" t="inlineStr">
        <is>
          <t>Lima · location data unavailable (neutral score)</t>
        </is>
      </c>
      <c r="R26" s="5" t="inlineStr">
        <is>
          <t>12 months min.</t>
        </is>
      </c>
      <c r="S26" s="5" t="inlineStr">
        <is>
          <t>2 months deposit; 1 in advance</t>
        </is>
      </c>
      <c r="T26" s="5" t="inlineStr">
        <is>
          <t>building security/controlled access; balcony/terrace</t>
        </is>
      </c>
      <c r="U26" s="5" t="inlineStr">
        <is>
          <t>rent + maintenance ≈ USD 1,049 (USD 940 rent + S/ 370 maintenance) exceeds USD 1,000</t>
        </is>
      </c>
      <c r="V26" s="11" t="inlineStr">
        <is>
          <t>UNKNOWN</t>
        </is>
      </c>
      <c r="W26" s="11" t="inlineStr">
        <is>
          <t>Adondevivir</t>
        </is>
      </c>
      <c r="X26" s="9" t="inlineStr">
        <is>
          <t>View listing</t>
        </is>
      </c>
      <c r="Y26" s="11" t="inlineStr">
        <is>
          <t>—</t>
        </is>
      </c>
      <c r="Z26" s="11" t="inlineStr">
        <is>
          <t>—</t>
        </is>
      </c>
      <c r="AA26" s="11" t="inlineStr">
        <is>
          <t>LIKELY_ACTIVE</t>
        </is>
      </c>
      <c r="AB26" s="11" t="inlineStr">
        <is>
          <t>PROGRAMMATIC_WARN</t>
        </is>
      </c>
    </row>
    <row r="27">
      <c r="A27" s="5" t="inlineStr">
        <is>
          <t>ALTERNATIVE</t>
        </is>
      </c>
      <c r="B27" s="4" t="n">
        <v>23</v>
      </c>
      <c r="C27" s="14" t="n">
        <v>47.8</v>
      </c>
      <c r="D27" s="11" t="inlineStr">
        <is>
          <t>2BR · 65 m² — Malecon Reserva</t>
        </is>
      </c>
      <c r="E27" s="6" t="n">
        <v>998.52</v>
      </c>
      <c r="F27" s="5" t="inlineStr">
        <is>
          <t>S/ 360 (≈ USD 106)</t>
        </is>
      </c>
      <c r="G27" s="6" t="n">
        <v>1104.87</v>
      </c>
      <c r="H27" s="5" t="inlineStr">
        <is>
          <t>BASE_RENT_COMPLIANT</t>
        </is>
      </c>
      <c r="I27" s="4" t="n">
        <v>2</v>
      </c>
      <c r="J27" s="4" t="n">
        <v>65</v>
      </c>
      <c r="K27" s="14" t="n">
        <v>15.36</v>
      </c>
      <c r="L27" s="11" t="inlineStr">
        <is>
          <t>No</t>
        </is>
      </c>
      <c r="M27" s="11" t="inlineStr">
        <is>
          <t>Yes</t>
        </is>
      </c>
      <c r="N27" s="5" t="inlineStr">
        <is>
          <t>UNKNOWN</t>
        </is>
      </c>
      <c r="O27" s="5" t="inlineStr">
        <is>
          <t>POSSIBLY QUIET · MEDIUM risk · low confidence</t>
        </is>
      </c>
      <c r="P27" s="4" t="n">
        <v>56</v>
      </c>
      <c r="Q27" s="5" t="inlineStr">
        <is>
          <t>Malecon Reserva · location data unavailable (neutral score)</t>
        </is>
      </c>
      <c r="R27" s="11" t="inlineStr">
        <is>
          <t>UNKNOWN</t>
        </is>
      </c>
      <c r="S27" s="11" t="inlineStr">
        <is>
          <t>UNKNOWN</t>
        </is>
      </c>
      <c r="T27" s="11" t="inlineStr">
        <is>
          <t>interior-facing; balcony/terrace</t>
        </is>
      </c>
      <c r="U27" s="5" t="inlineStr">
        <is>
          <t>rent + maintenance ≈ USD 1,105 (USD 999 rent + S/ 360 maintenance) exceeds USD 1,000</t>
        </is>
      </c>
      <c r="V27" s="11" t="inlineStr">
        <is>
          <t>UNKNOWN</t>
        </is>
      </c>
      <c r="W27" s="11" t="inlineStr">
        <is>
          <t>Adondevivir</t>
        </is>
      </c>
      <c r="X27" s="9" t="inlineStr">
        <is>
          <t>View listing</t>
        </is>
      </c>
      <c r="Y27" s="11" t="inlineStr">
        <is>
          <t>—</t>
        </is>
      </c>
      <c r="Z27" s="11" t="inlineStr">
        <is>
          <t>—</t>
        </is>
      </c>
      <c r="AA27" s="11" t="inlineStr">
        <is>
          <t>LIKELY_ACTIVE</t>
        </is>
      </c>
      <c r="AB27" s="11" t="inlineStr">
        <is>
          <t>PROGRAMMATIC_WARN</t>
        </is>
      </c>
    </row>
  </sheetData>
  <autoFilter ref="A4:AB27"/>
  <conditionalFormatting sqref="A5:AB27">
    <cfRule type="cellIs" priority="1" operator="equal" dxfId="0">
      <formula>"UNKNOWN"</formula>
    </cfRule>
    <cfRule type="expression" priority="2" dxfId="1" stopIfTrue="0">
      <formula>AND($A5="TOP 10",$B5&lt;=5)</formula>
    </cfRule>
    <cfRule type="expression" priority="12" dxfId="2">
      <formula>MOD(ROW(),2)=0</formula>
    </cfRule>
  </conditionalFormatting>
  <conditionalFormatting sqref="O5:O27">
    <cfRule type="expression" priority="3" dxfId="3" stopIfTrue="1">
      <formula>LEFT(O5,12)="LIKELY QUIET"</formula>
    </cfRule>
    <cfRule type="expression" priority="4" dxfId="4" stopIfTrue="1">
      <formula>LEFT(O5,14)="POSSIBLY QUIET"</formula>
    </cfRule>
    <cfRule type="expression" priority="5" dxfId="5" stopIfTrue="1">
      <formula>LEFT(O5,15)="NOISE UNCERTAIN"</formula>
    </cfRule>
    <cfRule type="expression" priority="6" dxfId="6" stopIfTrue="1">
      <formula>LEFT(O5,12)="LIKELY NOISY"</formula>
    </cfRule>
  </conditionalFormatting>
  <conditionalFormatting sqref="G5:G27">
    <cfRule type="cellIs" priority="7" operator="greaterThan" dxfId="7" stopIfTrue="1">
      <formula>1000</formula>
    </cfRule>
  </conditionalFormatting>
  <conditionalFormatting sqref="E5:E27">
    <cfRule type="cellIs" priority="8" operator="greaterThan" dxfId="7" stopIfTrue="1">
      <formula>1000</formula>
    </cfRule>
  </conditionalFormatting>
  <conditionalFormatting sqref="H5:H27">
    <cfRule type="expression" priority="9" dxfId="3" stopIfTrue="1">
      <formula>H5="STRICT_ALL_IN"</formula>
    </cfRule>
    <cfRule type="expression" priority="10" dxfId="8" stopIfTrue="1">
      <formula>H5="BASE_RENT_COMPLIANT"</formula>
    </cfRule>
  </conditionalFormatting>
  <conditionalFormatting sqref="C5:C27">
    <cfRule type="cellIs" priority="11" operator="greaterThanOrEqual" dxfId="9">
      <formula>75</formula>
    </cfRule>
  </conditionalFormatting>
  <hyperlinks>
    <hyperlink xmlns:r="http://schemas.openxmlformats.org/officeDocument/2006/relationships" ref="X5" r:id="rId1"/>
    <hyperlink xmlns:r="http://schemas.openxmlformats.org/officeDocument/2006/relationships" ref="X6" r:id="rId2"/>
    <hyperlink xmlns:r="http://schemas.openxmlformats.org/officeDocument/2006/relationships" ref="X7" r:id="rId3"/>
    <hyperlink xmlns:r="http://schemas.openxmlformats.org/officeDocument/2006/relationships" ref="X8" r:id="rId4"/>
    <hyperlink xmlns:r="http://schemas.openxmlformats.org/officeDocument/2006/relationships" ref="X9" r:id="rId5"/>
    <hyperlink xmlns:r="http://schemas.openxmlformats.org/officeDocument/2006/relationships" ref="Z9" r:id="rId6"/>
    <hyperlink xmlns:r="http://schemas.openxmlformats.org/officeDocument/2006/relationships" ref="X10" r:id="rId7"/>
    <hyperlink xmlns:r="http://schemas.openxmlformats.org/officeDocument/2006/relationships" ref="X11" r:id="rId8"/>
    <hyperlink xmlns:r="http://schemas.openxmlformats.org/officeDocument/2006/relationships" ref="X12" r:id="rId9"/>
    <hyperlink xmlns:r="http://schemas.openxmlformats.org/officeDocument/2006/relationships" ref="X13" r:id="rId10"/>
    <hyperlink xmlns:r="http://schemas.openxmlformats.org/officeDocument/2006/relationships" ref="X14" r:id="rId11"/>
    <hyperlink xmlns:r="http://schemas.openxmlformats.org/officeDocument/2006/relationships" ref="X15" r:id="rId12"/>
    <hyperlink xmlns:r="http://schemas.openxmlformats.org/officeDocument/2006/relationships" ref="X16" r:id="rId13"/>
    <hyperlink xmlns:r="http://schemas.openxmlformats.org/officeDocument/2006/relationships" ref="X17" r:id="rId14"/>
    <hyperlink xmlns:r="http://schemas.openxmlformats.org/officeDocument/2006/relationships" ref="X18" r:id="rId15"/>
    <hyperlink xmlns:r="http://schemas.openxmlformats.org/officeDocument/2006/relationships" ref="X19" r:id="rId16"/>
    <hyperlink xmlns:r="http://schemas.openxmlformats.org/officeDocument/2006/relationships" ref="X20" r:id="rId17"/>
    <hyperlink xmlns:r="http://schemas.openxmlformats.org/officeDocument/2006/relationships" ref="X21" r:id="rId18"/>
    <hyperlink xmlns:r="http://schemas.openxmlformats.org/officeDocument/2006/relationships" ref="X22" r:id="rId19"/>
    <hyperlink xmlns:r="http://schemas.openxmlformats.org/officeDocument/2006/relationships" ref="X23" r:id="rId20"/>
    <hyperlink xmlns:r="http://schemas.openxmlformats.org/officeDocument/2006/relationships" ref="Z23" r:id="rId21"/>
    <hyperlink xmlns:r="http://schemas.openxmlformats.org/officeDocument/2006/relationships" ref="X24" r:id="rId22"/>
    <hyperlink xmlns:r="http://schemas.openxmlformats.org/officeDocument/2006/relationships" ref="X25" r:id="rId23"/>
    <hyperlink xmlns:r="http://schemas.openxmlformats.org/officeDocument/2006/relationships" ref="X26" r:id="rId24"/>
    <hyperlink xmlns:r="http://schemas.openxmlformats.org/officeDocument/2006/relationships" ref="X27" r:id="rId25"/>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G27"/>
  <sheetViews>
    <sheetView zoomScale="10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4" customWidth="1" min="3" max="3"/>
    <col width="11" customWidth="1" min="4" max="4"/>
    <col width="30" customWidth="1" min="5" max="5"/>
    <col width="11" customWidth="1" min="6" max="6"/>
    <col width="13" customWidth="1" min="7" max="7"/>
    <col width="11" customWidth="1" min="8" max="8"/>
    <col width="10" customWidth="1" min="9" max="9"/>
    <col width="16" customWidth="1" min="10" max="10"/>
    <col width="11" customWidth="1" min="11" max="11"/>
    <col width="11" customWidth="1" min="12" max="12"/>
    <col width="16" customWidth="1" min="13" max="13"/>
    <col width="26" customWidth="1" min="14" max="14"/>
    <col width="8" customWidth="1" min="15" max="15"/>
    <col width="8" customWidth="1" min="16" max="16"/>
    <col width="8" customWidth="1" min="17" max="17"/>
    <col width="8" customWidth="1" min="18" max="18"/>
    <col width="12" customWidth="1" min="19" max="19"/>
    <col width="8" customWidth="1" min="20" max="20"/>
    <col width="18" customWidth="1" min="21" max="21"/>
    <col width="10" customWidth="1" min="22" max="22"/>
    <col width="9" customWidth="1" min="23" max="23"/>
    <col width="7" customWidth="1" min="24" max="24"/>
    <col width="9" customWidth="1" min="25" max="25"/>
    <col width="8" customWidth="1" min="26" max="26"/>
    <col width="8" customWidth="1" min="27" max="27"/>
    <col width="8" customWidth="1" min="28" max="28"/>
    <col width="7" customWidth="1" min="29" max="29"/>
    <col width="8" customWidth="1" min="30" max="30"/>
    <col width="22" customWidth="1" min="31" max="31"/>
    <col width="9" customWidth="1" min="32" max="32"/>
    <col width="50" customWidth="1" min="33" max="33"/>
    <col width="10" customWidth="1" min="34" max="34"/>
    <col width="10" customWidth="1" min="35" max="35"/>
    <col width="8" customWidth="1" min="36" max="36"/>
    <col width="30" customWidth="1" min="37" max="37"/>
    <col width="12" customWidth="1" min="38" max="38"/>
    <col width="14" customWidth="1" min="39" max="39"/>
    <col width="14" customWidth="1" min="40" max="40"/>
    <col width="11" customWidth="1" min="41" max="41"/>
    <col width="14" customWidth="1" min="42" max="42"/>
    <col width="40" customWidth="1" min="43" max="43"/>
    <col width="36" customWidth="1" min="44" max="44"/>
    <col width="40" customWidth="1" min="45" max="45"/>
    <col width="14" customWidth="1" min="46" max="46"/>
    <col width="30" customWidth="1" min="47" max="47"/>
    <col width="20" customWidth="1" min="48" max="48"/>
    <col width="14" customWidth="1" min="49" max="49"/>
    <col width="14" customWidth="1" min="50" max="50"/>
    <col width="7" customWidth="1" min="51" max="51"/>
    <col width="9" customWidth="1" min="52" max="52"/>
    <col width="24" customWidth="1" min="53" max="53"/>
    <col width="12" customWidth="1" min="54" max="54"/>
    <col width="14" customWidth="1" min="55" max="55"/>
    <col width="10" customWidth="1" min="56" max="56"/>
    <col width="16" customWidth="1" min="57" max="57"/>
    <col width="18" customWidth="1" min="58" max="58"/>
    <col width="30" customWidth="1" min="59" max="59"/>
  </cols>
  <sheetData>
    <row r="1">
      <c r="A1" s="1" t="inlineStr">
        <is>
          <t>All budget-compliant Miraflores matches</t>
        </is>
      </c>
    </row>
    <row r="2">
      <c r="A2" s="13" t="inlineStr">
        <is>
          <t>Generated 2026-09-24T20:49:33-05:00 · FX 1 USD = S/ 3.385 (BCRP live)</t>
        </is>
      </c>
    </row>
    <row r="4" ht="30" customHeight="1">
      <c r="A4" s="3" t="inlineStr">
        <is>
          <t>Rank</t>
        </is>
      </c>
      <c r="B4" s="3" t="inlineStr">
        <is>
          <t>Fit Score</t>
        </is>
      </c>
      <c r="C4" s="3" t="inlineStr">
        <is>
          <t>Property</t>
        </is>
      </c>
      <c r="D4" s="3" t="inlineStr">
        <is>
          <t>Category</t>
        </is>
      </c>
      <c r="E4" s="3" t="inlineStr">
        <is>
          <t>Why in this sheet</t>
        </is>
      </c>
      <c r="F4" s="3" t="inlineStr">
        <is>
          <t>Monthly Rent USD</t>
        </is>
      </c>
      <c r="G4" s="3" t="inlineStr">
        <is>
          <t>Rent as published</t>
        </is>
      </c>
      <c r="H4" s="3" t="inlineStr">
        <is>
          <t>Rent USD basis</t>
        </is>
      </c>
      <c r="I4" s="3" t="inlineStr">
        <is>
          <t>Rent PEN</t>
        </is>
      </c>
      <c r="J4" s="3" t="inlineStr">
        <is>
          <t>Maintenance</t>
        </is>
      </c>
      <c r="K4" s="3" t="inlineStr">
        <is>
          <t>Maintenance basis</t>
        </is>
      </c>
      <c r="L4" s="3" t="inlineStr">
        <is>
          <t>Estimated Total USD</t>
        </is>
      </c>
      <c r="M4" s="3" t="inlineStr">
        <is>
          <t>Budget Class</t>
        </is>
      </c>
      <c r="N4" s="3" t="inlineStr">
        <is>
          <t>Budget note</t>
        </is>
      </c>
      <c r="O4" s="3" t="inlineStr">
        <is>
          <t>Bedrooms</t>
        </is>
      </c>
      <c r="P4" s="3" t="inlineStr">
        <is>
          <t>Bathrooms</t>
        </is>
      </c>
      <c r="Q4" s="3" t="inlineStr">
        <is>
          <t>Area m²</t>
        </is>
      </c>
      <c r="R4" s="3" t="inlineStr">
        <is>
          <t>Area basis</t>
        </is>
      </c>
      <c r="S4" s="3" t="inlineStr">
        <is>
          <t>Space band</t>
        </is>
      </c>
      <c r="T4" s="3" t="inlineStr">
        <is>
          <t>USD/m²</t>
        </is>
      </c>
      <c r="U4" s="3" t="inlineStr">
        <is>
          <t>Value band</t>
        </is>
      </c>
      <c r="V4" s="3" t="inlineStr">
        <is>
          <t>Furnished</t>
        </is>
      </c>
      <c r="W4" s="3" t="inlineStr">
        <is>
          <t>Parking</t>
        </is>
      </c>
      <c r="X4" s="3" t="inlineStr">
        <is>
          <t>Floor</t>
        </is>
      </c>
      <c r="Y4" s="3" t="inlineStr">
        <is>
          <t>Balcony/Terrace</t>
        </is>
      </c>
      <c r="Z4" s="3" t="inlineStr">
        <is>
          <t>Laundry</t>
        </is>
      </c>
      <c r="AA4" s="3" t="inlineStr">
        <is>
          <t>Elevator</t>
        </is>
      </c>
      <c r="AB4" s="3" t="inlineStr">
        <is>
          <t>Security</t>
        </is>
      </c>
      <c r="AC4" s="3" t="inlineStr">
        <is>
          <t>Pets</t>
        </is>
      </c>
      <c r="AD4" s="3" t="inlineStr">
        <is>
          <t>Interior view</t>
        </is>
      </c>
      <c r="AE4" s="3" t="inlineStr">
        <is>
          <t>Noise Risk</t>
        </is>
      </c>
      <c r="AF4" s="3" t="inlineStr">
        <is>
          <t>Quietness Score</t>
        </is>
      </c>
      <c r="AG4" s="3" t="inlineStr">
        <is>
          <t>Quietness evidence</t>
        </is>
      </c>
      <c r="AH4" s="3" t="inlineStr">
        <is>
          <t>Nearest major road (m)</t>
        </is>
      </c>
      <c r="AI4" s="3" t="inlineStr">
        <is>
          <t>Nearest nightclub (m)</t>
        </is>
      </c>
      <c r="AJ4" s="3" t="inlineStr">
        <is>
          <t>Bars ≤150 m</t>
        </is>
      </c>
      <c r="AK4" s="3" t="inlineStr">
        <is>
          <t>Daily needs nearby</t>
        </is>
      </c>
      <c r="AL4" s="3" t="inlineStr">
        <is>
          <t>Contract</t>
        </is>
      </c>
      <c r="AM4" s="3" t="inlineStr">
        <is>
          <t>Deposit</t>
        </is>
      </c>
      <c r="AN4" s="3" t="inlineStr">
        <is>
          <t>Utilities included</t>
        </is>
      </c>
      <c r="AO4" s="3" t="inlineStr">
        <is>
          <t>Published</t>
        </is>
      </c>
      <c r="AP4" s="3" t="inlineStr">
        <is>
          <t>Active status</t>
        </is>
      </c>
      <c r="AQ4" s="3" t="inlineStr">
        <is>
          <t>Main Advantage</t>
        </is>
      </c>
      <c r="AR4" s="3" t="inlineStr">
        <is>
          <t>Main Drawback</t>
        </is>
      </c>
      <c r="AS4" s="3" t="inlineStr">
        <is>
          <t>Red flags</t>
        </is>
      </c>
      <c r="AT4" s="3" t="inlineStr">
        <is>
          <t>Foreign Tenant</t>
        </is>
      </c>
      <c r="AU4" s="3" t="inlineStr">
        <is>
          <t>Foreign-tenant evidence</t>
        </is>
      </c>
      <c r="AV4" s="3" t="inlineStr">
        <is>
          <t>Agency / agent</t>
        </is>
      </c>
      <c r="AW4" s="3" t="inlineStr">
        <is>
          <t>Phone</t>
        </is>
      </c>
      <c r="AX4" s="3" t="inlineStr">
        <is>
          <t>Source</t>
        </is>
      </c>
      <c r="AY4" s="3" t="inlineStr">
        <is>
          <t># Sources</t>
        </is>
      </c>
      <c r="AZ4" s="3" t="inlineStr">
        <is>
          <t>Duplicate group</t>
        </is>
      </c>
      <c r="BA4" s="3" t="inlineStr">
        <is>
          <t>Duplicate conflicts</t>
        </is>
      </c>
      <c r="BB4" s="3" t="inlineStr">
        <is>
          <t>View Listing</t>
        </is>
      </c>
      <c r="BC4" s="3" t="inlineStr">
        <is>
          <t>WhatsApp</t>
        </is>
      </c>
      <c r="BD4" s="3" t="inlineStr">
        <is>
          <t>Map</t>
        </is>
      </c>
      <c r="BE4" s="3" t="inlineStr">
        <is>
          <t>Location source</t>
        </is>
      </c>
      <c r="BF4" s="3" t="inlineStr">
        <is>
          <t>QA Status</t>
        </is>
      </c>
      <c r="BG4" s="3" t="inlineStr">
        <is>
          <t>QA notes</t>
        </is>
      </c>
    </row>
    <row r="5">
      <c r="A5" s="4" t="n">
        <v>1</v>
      </c>
      <c r="B5" s="14" t="n">
        <v>70.8</v>
      </c>
      <c r="C5" s="5" t="inlineStr">
        <is>
          <t>1BR · 62 m² — Miraflores · ID 151162497</t>
        </is>
      </c>
      <c r="D5" s="11" t="inlineStr">
        <is>
          <t>PRIMARY</t>
        </is>
      </c>
      <c r="E5" s="11" t="inlineStr"/>
      <c r="F5" s="6" t="n">
        <v>768.09</v>
      </c>
      <c r="G5" s="11" t="inlineStr">
        <is>
          <t>PEN 2,600</t>
        </is>
      </c>
      <c r="H5" s="11" t="inlineStr">
        <is>
          <t>CALCULATED</t>
        </is>
      </c>
      <c r="I5" s="15" t="n">
        <v>2600</v>
      </c>
      <c r="J5" s="5" t="inlineStr">
        <is>
          <t>S/ 295 (≈ USD 87)</t>
        </is>
      </c>
      <c r="K5" s="11" t="inlineStr">
        <is>
          <t>PUBLISHED</t>
        </is>
      </c>
      <c r="L5" s="6" t="n">
        <v>855.24</v>
      </c>
      <c r="M5" s="11" t="inlineStr">
        <is>
          <t>STRICT_ALL_IN</t>
        </is>
      </c>
      <c r="N5" s="11" t="inlineStr">
        <is>
          <t>all-in ≈ USD 855</t>
        </is>
      </c>
      <c r="O5" s="4" t="n">
        <v>1</v>
      </c>
      <c r="P5" s="16" t="n">
        <v>1</v>
      </c>
      <c r="Q5" s="4" t="n">
        <v>62</v>
      </c>
      <c r="R5" s="11" t="inlineStr">
        <is>
          <t>total</t>
        </is>
      </c>
      <c r="S5" s="5" t="inlineStr">
        <is>
          <t>VERY_SPACIOUS</t>
        </is>
      </c>
      <c r="T5" s="14" t="n">
        <v>12.39</v>
      </c>
      <c r="U5" s="11" t="inlineStr">
        <is>
          <t>EXCELLENT_VALUE</t>
        </is>
      </c>
      <c r="V5" s="11" t="inlineStr">
        <is>
          <t>Yes</t>
        </is>
      </c>
      <c r="W5" s="11" t="inlineStr">
        <is>
          <t>Yes</t>
        </is>
      </c>
      <c r="X5" s="5" t="inlineStr">
        <is>
          <t>UNKNOWN</t>
        </is>
      </c>
      <c r="Y5" s="11" t="inlineStr">
        <is>
          <t>UNKNOWN</t>
        </is>
      </c>
      <c r="Z5" s="11" t="inlineStr">
        <is>
          <t>UNKNOWN</t>
        </is>
      </c>
      <c r="AA5" s="11" t="inlineStr">
        <is>
          <t>Yes</t>
        </is>
      </c>
      <c r="AB5" s="11" t="inlineStr">
        <is>
          <t>Yes</t>
        </is>
      </c>
      <c r="AC5" s="11" t="inlineStr">
        <is>
          <t>No</t>
        </is>
      </c>
      <c r="AD5" s="11" t="inlineStr">
        <is>
          <t>UNKNOWN</t>
        </is>
      </c>
      <c r="AE5" s="5" t="inlineStr">
        <is>
          <t>NOISE UNCERTAIN · MEDIUM risk · low confidence</t>
        </is>
      </c>
      <c r="AF5" s="4" t="n">
        <v>52</v>
      </c>
      <c r="AG5" s="5" t="inlineStr">
        <is>
          <t>No usable coordinates — text evidence only; seller describes the street as quiet (unverified claim). Quietness estimate: low confidence.</t>
        </is>
      </c>
      <c r="AH5" s="11" t="inlineStr">
        <is>
          <t>UNKNOWN</t>
        </is>
      </c>
      <c r="AI5" s="11" t="inlineStr">
        <is>
          <t>UNKNOWN</t>
        </is>
      </c>
      <c r="AJ5" s="11" t="inlineStr">
        <is>
          <t>UNKNOWN</t>
        </is>
      </c>
      <c r="AK5" s="5" t="inlineStr">
        <is>
          <t>location data unavailable (neutral score)</t>
        </is>
      </c>
      <c r="AL5" s="11" t="inlineStr">
        <is>
          <t>UNKNOWN</t>
        </is>
      </c>
      <c r="AM5" s="5" t="inlineStr">
        <is>
          <t>2 months deposit; 1 in advance</t>
        </is>
      </c>
      <c r="AN5" s="11" t="inlineStr">
        <is>
          <t>UNKNOWN</t>
        </is>
      </c>
      <c r="AO5" s="11" t="inlineStr">
        <is>
          <t>UNKNOWN</t>
        </is>
      </c>
      <c r="AP5" s="11" t="inlineStr">
        <is>
          <t>LIKELY_ACTIVE</t>
        </is>
      </c>
      <c r="AQ5" s="5" t="inlineStr">
        <is>
          <t>62 m² area — very spacious for a 1-bedroom; USD 12.4/m² (excellent value vs other 1BR in sample); furnished</t>
        </is>
      </c>
      <c r="AR5" s="5" t="inlineStr">
        <is>
          <t>no map location — noise estimate is text-only</t>
        </is>
      </c>
      <c r="AS5" s="5" t="inlineStr">
        <is>
          <t>INCOMPLETE_ADDRESS; INCOMPLETE_CONTACT; NO_COORDINATES; NO_PUBLICATION_DATE; PRICE_CONVERTED_FROM_PEN</t>
        </is>
      </c>
      <c r="AT5" s="11" t="inlineStr">
        <is>
          <t>UNKNOWN</t>
        </is>
      </c>
      <c r="AU5" s="11" t="inlineStr">
        <is>
          <t>furnished</t>
        </is>
      </c>
      <c r="AV5" s="11" t="inlineStr">
        <is>
          <t>UNKNOWN</t>
        </is>
      </c>
      <c r="AW5" s="11" t="inlineStr">
        <is>
          <t>UNKNOWN</t>
        </is>
      </c>
      <c r="AX5" s="11" t="inlineStr">
        <is>
          <t>Adondevivir</t>
        </is>
      </c>
      <c r="AY5" s="4" t="n">
        <v>1</v>
      </c>
      <c r="AZ5" s="11" t="inlineStr">
        <is>
          <t>G0022</t>
        </is>
      </c>
      <c r="BA5" s="11" t="inlineStr"/>
      <c r="BB5" s="9" t="inlineStr">
        <is>
          <t>View listing</t>
        </is>
      </c>
      <c r="BC5" s="11" t="inlineStr">
        <is>
          <t>—</t>
        </is>
      </c>
      <c r="BD5" s="11" t="inlineStr">
        <is>
          <t>—</t>
        </is>
      </c>
      <c r="BE5" s="11" t="inlineStr">
        <is>
          <t>none / -</t>
        </is>
      </c>
      <c r="BF5" s="5" t="inlineStr">
        <is>
          <t>UNVERIFIED_NOT_RETURNED</t>
        </is>
      </c>
      <c r="BG5" s="5" t="inlineStr">
        <is>
          <t>no contact channel; Apify re-check (0 items, USD 0.000) did not return this listing — open the link manually</t>
        </is>
      </c>
    </row>
    <row r="6">
      <c r="A6" s="4" t="n">
        <v>2</v>
      </c>
      <c r="B6" s="14" t="n">
        <v>67.8</v>
      </c>
      <c r="C6" s="5" t="inlineStr">
        <is>
          <t>1BR · 42 m² — Miraflores · ID 151122912</t>
        </is>
      </c>
      <c r="D6" s="11" t="inlineStr">
        <is>
          <t>PRIMARY</t>
        </is>
      </c>
      <c r="E6" s="11" t="inlineStr"/>
      <c r="F6" s="6" t="n">
        <v>827.1799999999999</v>
      </c>
      <c r="G6" s="11" t="inlineStr">
        <is>
          <t>PEN 2,800</t>
        </is>
      </c>
      <c r="H6" s="11" t="inlineStr">
        <is>
          <t>CALCULATED</t>
        </is>
      </c>
      <c r="I6" s="15" t="n">
        <v>2800</v>
      </c>
      <c r="J6" s="5" t="inlineStr">
        <is>
          <t>S/ 200 (≈ USD 59)</t>
        </is>
      </c>
      <c r="K6" s="11" t="inlineStr">
        <is>
          <t>PUBLISHED</t>
        </is>
      </c>
      <c r="L6" s="6" t="n">
        <v>886.26</v>
      </c>
      <c r="M6" s="11" t="inlineStr">
        <is>
          <t>STRICT_ALL_IN</t>
        </is>
      </c>
      <c r="N6" s="11" t="inlineStr">
        <is>
          <t>all-in ≈ USD 886</t>
        </is>
      </c>
      <c r="O6" s="4" t="n">
        <v>1</v>
      </c>
      <c r="P6" s="16" t="n">
        <v>1</v>
      </c>
      <c r="Q6" s="4" t="n">
        <v>42</v>
      </c>
      <c r="R6" s="11" t="inlineStr">
        <is>
          <t>total</t>
        </is>
      </c>
      <c r="S6" s="11" t="inlineStr">
        <is>
          <t>ACCEPTABLE</t>
        </is>
      </c>
      <c r="T6" s="14" t="n">
        <v>19.69</v>
      </c>
      <c r="U6" s="5" t="inlineStr">
        <is>
          <t>EXPENSIVE_RELATIVE_TO_SAMPLE</t>
        </is>
      </c>
      <c r="V6" s="11" t="inlineStr">
        <is>
          <t>Yes</t>
        </is>
      </c>
      <c r="W6" s="11" t="inlineStr">
        <is>
          <t>Yes</t>
        </is>
      </c>
      <c r="X6" s="11" t="n">
        <v>8</v>
      </c>
      <c r="Y6" s="11" t="inlineStr">
        <is>
          <t>Yes</t>
        </is>
      </c>
      <c r="Z6" s="11" t="inlineStr">
        <is>
          <t>Yes</t>
        </is>
      </c>
      <c r="AA6" s="11" t="inlineStr">
        <is>
          <t>Yes</t>
        </is>
      </c>
      <c r="AB6" s="11" t="inlineStr">
        <is>
          <t>Yes</t>
        </is>
      </c>
      <c r="AC6" s="5" t="inlineStr">
        <is>
          <t>UNKNOWN</t>
        </is>
      </c>
      <c r="AD6" s="11" t="inlineStr">
        <is>
          <t>Yes</t>
        </is>
      </c>
      <c r="AE6" s="5" t="inlineStr">
        <is>
          <t>POSSIBLY QUIET · MEDIUM risk · low confidence</t>
        </is>
      </c>
      <c r="AF6" s="4" t="n">
        <v>58</v>
      </c>
      <c r="AG6" s="5" t="inlineStr">
        <is>
          <t>No usable coordinates — text evidence only; listing says interior-facing / contrafrente; high floor (8). Quietness estimate: low confidence.</t>
        </is>
      </c>
      <c r="AH6" s="11" t="inlineStr">
        <is>
          <t>UNKNOWN</t>
        </is>
      </c>
      <c r="AI6" s="11" t="inlineStr">
        <is>
          <t>UNKNOWN</t>
        </is>
      </c>
      <c r="AJ6" s="11" t="inlineStr">
        <is>
          <t>UNKNOWN</t>
        </is>
      </c>
      <c r="AK6" s="5" t="inlineStr">
        <is>
          <t>location data unavailable (neutral score)</t>
        </is>
      </c>
      <c r="AL6" s="5" t="inlineStr">
        <is>
          <t>2 months min.</t>
        </is>
      </c>
      <c r="AM6" s="5" t="inlineStr">
        <is>
          <t>2 months deposit; 1 in advance</t>
        </is>
      </c>
      <c r="AN6" s="11" t="inlineStr">
        <is>
          <t>UNKNOWN</t>
        </is>
      </c>
      <c r="AO6" s="11" t="inlineStr">
        <is>
          <t>UNKNOWN</t>
        </is>
      </c>
      <c r="AP6" s="11" t="inlineStr">
        <is>
          <t>LIKELY_ACTIVE</t>
        </is>
      </c>
      <c r="AQ6" s="5" t="inlineStr">
        <is>
          <t>interior-facing; furnished; building security/controlled access</t>
        </is>
      </c>
      <c r="AR6" s="5" t="inlineStr">
        <is>
          <t>no map location — noise estimate is text-only</t>
        </is>
      </c>
      <c r="AS6" s="5" t="inlineStr">
        <is>
          <t>INCOMPLETE_ADDRESS; INCOMPLETE_CONTACT; NO_COORDINATES; NO_PUBLICATION_DATE; PRICE_CONVERTED_FROM_PEN; STUDIO_WORDING</t>
        </is>
      </c>
      <c r="AT6" s="11" t="inlineStr">
        <is>
          <t>UNKNOWN</t>
        </is>
      </c>
      <c r="AU6" s="5" t="inlineStr">
        <is>
          <t>furnished; minimum stay 2 months</t>
        </is>
      </c>
      <c r="AV6" s="11" t="inlineStr">
        <is>
          <t>UNKNOWN</t>
        </is>
      </c>
      <c r="AW6" s="11" t="inlineStr">
        <is>
          <t>UNKNOWN</t>
        </is>
      </c>
      <c r="AX6" s="5" t="inlineStr">
        <is>
          <t>Adondevivir + Urbania</t>
        </is>
      </c>
      <c r="AY6" s="4" t="n">
        <v>2</v>
      </c>
      <c r="AZ6" s="11" t="inlineStr">
        <is>
          <t>G0006</t>
        </is>
      </c>
      <c r="BA6" s="11" t="inlineStr"/>
      <c r="BB6" s="9" t="inlineStr">
        <is>
          <t>View listing</t>
        </is>
      </c>
      <c r="BC6" s="11" t="inlineStr">
        <is>
          <t>—</t>
        </is>
      </c>
      <c r="BD6" s="11" t="inlineStr">
        <is>
          <t>—</t>
        </is>
      </c>
      <c r="BE6" s="11" t="inlineStr">
        <is>
          <t>none / -</t>
        </is>
      </c>
      <c r="BF6" s="5" t="inlineStr">
        <is>
          <t>UNVERIFIED_NOT_RETURNED</t>
        </is>
      </c>
      <c r="BG6" s="5" t="inlineStr">
        <is>
          <t>no contact channel; Apify re-check (1 items, USD 0.022) did not return this listing — open the link manually</t>
        </is>
      </c>
    </row>
    <row r="7">
      <c r="A7" s="4" t="n">
        <v>3</v>
      </c>
      <c r="B7" s="14" t="n">
        <v>66.8</v>
      </c>
      <c r="C7" s="5" t="inlineStr">
        <is>
          <t>1BR · 71 m² — Miraflores · ID 150746422</t>
        </is>
      </c>
      <c r="D7" s="11" t="inlineStr">
        <is>
          <t>PRIMARY</t>
        </is>
      </c>
      <c r="E7" s="11" t="inlineStr"/>
      <c r="F7" s="6" t="n">
        <v>903.99</v>
      </c>
      <c r="G7" s="11" t="inlineStr">
        <is>
          <t>PEN 3,060</t>
        </is>
      </c>
      <c r="H7" s="11" t="inlineStr">
        <is>
          <t>CALCULATED</t>
        </is>
      </c>
      <c r="I7" s="15" t="n">
        <v>3060</v>
      </c>
      <c r="J7" s="5" t="inlineStr">
        <is>
          <t>S/ 300 (≈ USD 89)</t>
        </is>
      </c>
      <c r="K7" s="11" t="inlineStr">
        <is>
          <t>PUBLISHED</t>
        </is>
      </c>
      <c r="L7" s="6" t="n">
        <v>992.62</v>
      </c>
      <c r="M7" s="11" t="inlineStr">
        <is>
          <t>STRICT_ALL_IN</t>
        </is>
      </c>
      <c r="N7" s="11" t="inlineStr">
        <is>
          <t>all-in ≈ USD 993</t>
        </is>
      </c>
      <c r="O7" s="4" t="n">
        <v>1</v>
      </c>
      <c r="P7" s="16" t="n">
        <v>1</v>
      </c>
      <c r="Q7" s="4" t="n">
        <v>71</v>
      </c>
      <c r="R7" s="11" t="inlineStr">
        <is>
          <t>total</t>
        </is>
      </c>
      <c r="S7" s="5" t="inlineStr">
        <is>
          <t>VERY_SPACIOUS</t>
        </is>
      </c>
      <c r="T7" s="14" t="n">
        <v>12.73</v>
      </c>
      <c r="U7" s="11" t="inlineStr">
        <is>
          <t>GOOD_VALUE</t>
        </is>
      </c>
      <c r="V7" s="11" t="inlineStr">
        <is>
          <t>Yes</t>
        </is>
      </c>
      <c r="W7" s="11" t="inlineStr">
        <is>
          <t>Yes</t>
        </is>
      </c>
      <c r="X7" s="11" t="n">
        <v>5</v>
      </c>
      <c r="Y7" s="11" t="inlineStr">
        <is>
          <t>UNKNOWN</t>
        </is>
      </c>
      <c r="Z7" s="11" t="inlineStr">
        <is>
          <t>UNKNOWN</t>
        </is>
      </c>
      <c r="AA7" s="11" t="inlineStr">
        <is>
          <t>UNKNOWN</t>
        </is>
      </c>
      <c r="AB7" s="11" t="inlineStr">
        <is>
          <t>UNKNOWN</t>
        </is>
      </c>
      <c r="AC7" s="11" t="inlineStr">
        <is>
          <t>No</t>
        </is>
      </c>
      <c r="AD7" s="11" t="inlineStr">
        <is>
          <t>Yes</t>
        </is>
      </c>
      <c r="AE7" s="5" t="inlineStr">
        <is>
          <t>POSSIBLY QUIET · MEDIUM risk · low confidence</t>
        </is>
      </c>
      <c r="AF7" s="4" t="n">
        <v>56</v>
      </c>
      <c r="AG7" s="5" t="inlineStr">
        <is>
          <t>No usable coordinates — text evidence only; listing says interior-facing / contrafrente; listing mentions 'av. benavides' (major arterial) — check the distance. Quietness estimate: low confidence.</t>
        </is>
      </c>
      <c r="AH7" s="11" t="inlineStr">
        <is>
          <t>UNKNOWN</t>
        </is>
      </c>
      <c r="AI7" s="11" t="inlineStr">
        <is>
          <t>UNKNOWN</t>
        </is>
      </c>
      <c r="AJ7" s="11" t="inlineStr">
        <is>
          <t>UNKNOWN</t>
        </is>
      </c>
      <c r="AK7" s="5" t="inlineStr">
        <is>
          <t>location data unavailable (neutral score)</t>
        </is>
      </c>
      <c r="AL7" s="11" t="inlineStr">
        <is>
          <t>UNKNOWN</t>
        </is>
      </c>
      <c r="AM7" s="11" t="inlineStr">
        <is>
          <t>UNKNOWN</t>
        </is>
      </c>
      <c r="AN7" s="11" t="inlineStr">
        <is>
          <t>UNKNOWN</t>
        </is>
      </c>
      <c r="AO7" s="11" t="inlineStr">
        <is>
          <t>UNKNOWN</t>
        </is>
      </c>
      <c r="AP7" s="11" t="inlineStr">
        <is>
          <t>LIKELY_ACTIVE</t>
        </is>
      </c>
      <c r="AQ7" s="5" t="inlineStr">
        <is>
          <t>71 m² area — very spacious for a 1-bedroom; interior-facing; USD 12.7/m² (good value vs other 1BR in sample)</t>
        </is>
      </c>
      <c r="AR7" s="5" t="inlineStr">
        <is>
          <t>no map location — noise estimate is text-only</t>
        </is>
      </c>
      <c r="AS7" s="5" t="inlineStr">
        <is>
          <t>INCOMPLETE_ADDRESS; INCOMPLETE_CONTACT; MAJOR_ARTERIAL_MENTIONED; NO_COORDINATES; NO_PUBLICATION_DATE; PRICE_CONVERTED_FROM_PEN</t>
        </is>
      </c>
      <c r="AT7" s="11" t="inlineStr">
        <is>
          <t>UNKNOWN</t>
        </is>
      </c>
      <c r="AU7" s="11" t="inlineStr">
        <is>
          <t>furnished</t>
        </is>
      </c>
      <c r="AV7" s="11" t="inlineStr">
        <is>
          <t>UNKNOWN</t>
        </is>
      </c>
      <c r="AW7" s="11" t="inlineStr">
        <is>
          <t>UNKNOWN</t>
        </is>
      </c>
      <c r="AX7" s="11" t="inlineStr">
        <is>
          <t>Urbania</t>
        </is>
      </c>
      <c r="AY7" s="4" t="n">
        <v>1</v>
      </c>
      <c r="AZ7" s="11" t="inlineStr">
        <is>
          <t>G0005</t>
        </is>
      </c>
      <c r="BA7" s="11" t="inlineStr"/>
      <c r="BB7" s="9" t="inlineStr">
        <is>
          <t>View listing</t>
        </is>
      </c>
      <c r="BC7" s="11" t="inlineStr">
        <is>
          <t>—</t>
        </is>
      </c>
      <c r="BD7" s="11" t="inlineStr">
        <is>
          <t>—</t>
        </is>
      </c>
      <c r="BE7" s="11" t="inlineStr">
        <is>
          <t>none / -</t>
        </is>
      </c>
      <c r="BF7" s="5" t="inlineStr">
        <is>
          <t>UNVERIFIED_NOT_RETURNED</t>
        </is>
      </c>
      <c r="BG7" s="5" t="inlineStr">
        <is>
          <t>no contact channel; Apify re-check (1 items, USD 0.022) did not return this listing — open the link manually</t>
        </is>
      </c>
    </row>
    <row r="8">
      <c r="A8" s="4" t="n">
        <v>4</v>
      </c>
      <c r="B8" s="14" t="n">
        <v>66</v>
      </c>
      <c r="C8" s="11" t="inlineStr">
        <is>
          <t>1BR · 40 m² — San Antonio</t>
        </is>
      </c>
      <c r="D8" s="11" t="inlineStr">
        <is>
          <t>PRIMARY</t>
        </is>
      </c>
      <c r="E8" s="11" t="inlineStr"/>
      <c r="F8" s="6" t="n">
        <v>768.09</v>
      </c>
      <c r="G8" s="11" t="inlineStr">
        <is>
          <t>PEN 2,600</t>
        </is>
      </c>
      <c r="H8" s="11" t="inlineStr">
        <is>
          <t>CALCULATED</t>
        </is>
      </c>
      <c r="I8" s="15" t="n">
        <v>2600</v>
      </c>
      <c r="J8" s="5" t="inlineStr">
        <is>
          <t>S/ 200 (≈ USD 59)</t>
        </is>
      </c>
      <c r="K8" s="11" t="inlineStr">
        <is>
          <t>PUBLISHED</t>
        </is>
      </c>
      <c r="L8" s="6" t="n">
        <v>827.17</v>
      </c>
      <c r="M8" s="11" t="inlineStr">
        <is>
          <t>STRICT_ALL_IN</t>
        </is>
      </c>
      <c r="N8" s="11" t="inlineStr">
        <is>
          <t>all-in ≈ USD 827</t>
        </is>
      </c>
      <c r="O8" s="4" t="n">
        <v>1</v>
      </c>
      <c r="P8" s="16" t="n">
        <v>1</v>
      </c>
      <c r="Q8" s="4" t="n">
        <v>40</v>
      </c>
      <c r="R8" s="11" t="inlineStr">
        <is>
          <t>total</t>
        </is>
      </c>
      <c r="S8" s="11" t="inlineStr">
        <is>
          <t>ACCEPTABLE</t>
        </is>
      </c>
      <c r="T8" s="14" t="n">
        <v>19.2</v>
      </c>
      <c r="U8" s="11" t="inlineStr">
        <is>
          <t>FAIR_VALUE</t>
        </is>
      </c>
      <c r="V8" s="11" t="inlineStr">
        <is>
          <t>Yes</t>
        </is>
      </c>
      <c r="W8" s="11" t="inlineStr">
        <is>
          <t>No</t>
        </is>
      </c>
      <c r="X8" s="5" t="inlineStr">
        <is>
          <t>UNKNOWN</t>
        </is>
      </c>
      <c r="Y8" s="11" t="inlineStr">
        <is>
          <t>Yes</t>
        </is>
      </c>
      <c r="Z8" s="11" t="inlineStr">
        <is>
          <t>Yes</t>
        </is>
      </c>
      <c r="AA8" s="11" t="inlineStr">
        <is>
          <t>UNKNOWN</t>
        </is>
      </c>
      <c r="AB8" s="11" t="inlineStr">
        <is>
          <t>Yes</t>
        </is>
      </c>
      <c r="AC8" s="5" t="inlineStr">
        <is>
          <t>UNKNOWN</t>
        </is>
      </c>
      <c r="AD8" s="11" t="inlineStr">
        <is>
          <t>Yes</t>
        </is>
      </c>
      <c r="AE8" s="5" t="inlineStr">
        <is>
          <t>POSSIBLY QUIET · MEDIUM risk · low confidence</t>
        </is>
      </c>
      <c r="AF8" s="4" t="n">
        <v>56</v>
      </c>
      <c r="AG8" s="5" t="inlineStr">
        <is>
          <t>No usable coordinates — text evidence only; listing says interior-facing / contrafrente; listing mentions 'paseo de la republica' (major arterial) — check the distance. Quietness estimate: low confidence.</t>
        </is>
      </c>
      <c r="AH8" s="11" t="inlineStr">
        <is>
          <t>UNKNOWN</t>
        </is>
      </c>
      <c r="AI8" s="11" t="inlineStr">
        <is>
          <t>UNKNOWN</t>
        </is>
      </c>
      <c r="AJ8" s="11" t="inlineStr">
        <is>
          <t>UNKNOWN</t>
        </is>
      </c>
      <c r="AK8" s="5" t="inlineStr">
        <is>
          <t>location data unavailable (neutral score)</t>
        </is>
      </c>
      <c r="AL8" s="11" t="inlineStr">
        <is>
          <t>UNKNOWN</t>
        </is>
      </c>
      <c r="AM8" s="11" t="inlineStr">
        <is>
          <t>UNKNOWN</t>
        </is>
      </c>
      <c r="AN8" s="11" t="inlineStr">
        <is>
          <t>UNKNOWN</t>
        </is>
      </c>
      <c r="AO8" s="11" t="inlineStr">
        <is>
          <t>UNKNOWN</t>
        </is>
      </c>
      <c r="AP8" s="11" t="inlineStr">
        <is>
          <t>LIKELY_ACTIVE</t>
        </is>
      </c>
      <c r="AQ8" s="5" t="inlineStr">
        <is>
          <t>interior-facing; all-in ≈ USD 827/month; furnished</t>
        </is>
      </c>
      <c r="AR8" s="5" t="inlineStr">
        <is>
          <t>no map location — noise estimate is text-only</t>
        </is>
      </c>
      <c r="AS8" s="5" t="inlineStr">
        <is>
          <t>INCOMPLETE_ADDRESS; INCOMPLETE_CONTACT; MAJOR_ARTERIAL_MENTIONED; NO_COORDINATES; NO_PUBLICATION_DATE; PRICE_CONVERTED_FROM_PEN</t>
        </is>
      </c>
      <c r="AT8" s="11" t="inlineStr">
        <is>
          <t>UNKNOWN</t>
        </is>
      </c>
      <c r="AU8" s="11" t="inlineStr">
        <is>
          <t>furnished</t>
        </is>
      </c>
      <c r="AV8" s="11" t="inlineStr">
        <is>
          <t>UNKNOWN</t>
        </is>
      </c>
      <c r="AW8" s="11" t="inlineStr">
        <is>
          <t>UNKNOWN</t>
        </is>
      </c>
      <c r="AX8" s="5" t="inlineStr">
        <is>
          <t>Adondevivir + Urbania</t>
        </is>
      </c>
      <c r="AY8" s="4" t="n">
        <v>2</v>
      </c>
      <c r="AZ8" s="11" t="inlineStr">
        <is>
          <t>G0003</t>
        </is>
      </c>
      <c r="BA8" s="11" t="inlineStr"/>
      <c r="BB8" s="9" t="inlineStr">
        <is>
          <t>View listing</t>
        </is>
      </c>
      <c r="BC8" s="11" t="inlineStr">
        <is>
          <t>—</t>
        </is>
      </c>
      <c r="BD8" s="11" t="inlineStr">
        <is>
          <t>—</t>
        </is>
      </c>
      <c r="BE8" s="11" t="inlineStr">
        <is>
          <t>none / -</t>
        </is>
      </c>
      <c r="BF8" s="5" t="inlineStr">
        <is>
          <t>UNVERIFIED_NOT_RETURNED</t>
        </is>
      </c>
      <c r="BG8" s="5" t="inlineStr">
        <is>
          <t>no contact channel; Apify re-check (1 items, USD 0.022) did not return this listing — open the link manually</t>
        </is>
      </c>
    </row>
    <row r="9">
      <c r="A9" s="4" t="n">
        <v>5</v>
      </c>
      <c r="B9" s="14" t="n">
        <v>64.8</v>
      </c>
      <c r="C9" s="5" t="inlineStr">
        <is>
          <t>1BR · 41 m² — Miraflores · ID 151178161</t>
        </is>
      </c>
      <c r="D9" s="11" t="inlineStr">
        <is>
          <t>PRIMARY</t>
        </is>
      </c>
      <c r="E9" s="11" t="inlineStr"/>
      <c r="F9" s="6" t="n">
        <v>679.47</v>
      </c>
      <c r="G9" s="11" t="inlineStr">
        <is>
          <t>PEN 2,300</t>
        </is>
      </c>
      <c r="H9" s="11" t="inlineStr">
        <is>
          <t>CALCULATED</t>
        </is>
      </c>
      <c r="I9" s="15" t="n">
        <v>2300</v>
      </c>
      <c r="J9" s="5" t="inlineStr">
        <is>
          <t>S/ 250 (≈ USD 74)</t>
        </is>
      </c>
      <c r="K9" s="11" t="inlineStr">
        <is>
          <t>PUBLISHED</t>
        </is>
      </c>
      <c r="L9" s="6" t="n">
        <v>753.33</v>
      </c>
      <c r="M9" s="11" t="inlineStr">
        <is>
          <t>STRICT_ALL_IN</t>
        </is>
      </c>
      <c r="N9" s="11" t="inlineStr">
        <is>
          <t>all-in ≈ USD 753</t>
        </is>
      </c>
      <c r="O9" s="4" t="n">
        <v>1</v>
      </c>
      <c r="P9" s="16" t="n">
        <v>1</v>
      </c>
      <c r="Q9" s="4" t="n">
        <v>41</v>
      </c>
      <c r="R9" s="11" t="inlineStr">
        <is>
          <t>total</t>
        </is>
      </c>
      <c r="S9" s="11" t="inlineStr">
        <is>
          <t>ACCEPTABLE</t>
        </is>
      </c>
      <c r="T9" s="14" t="n">
        <v>16.57</v>
      </c>
      <c r="U9" s="11" t="inlineStr">
        <is>
          <t>FAIR_VALUE</t>
        </is>
      </c>
      <c r="V9" s="11" t="inlineStr">
        <is>
          <t>UNKNOWN</t>
        </is>
      </c>
      <c r="W9" s="11" t="inlineStr">
        <is>
          <t>No</t>
        </is>
      </c>
      <c r="X9" s="5" t="inlineStr">
        <is>
          <t>UNKNOWN</t>
        </is>
      </c>
      <c r="Y9" s="11" t="inlineStr">
        <is>
          <t>Yes</t>
        </is>
      </c>
      <c r="Z9" s="11" t="inlineStr">
        <is>
          <t>Yes</t>
        </is>
      </c>
      <c r="AA9" s="11" t="inlineStr">
        <is>
          <t>UNKNOWN</t>
        </is>
      </c>
      <c r="AB9" s="11" t="inlineStr">
        <is>
          <t>UNKNOWN</t>
        </is>
      </c>
      <c r="AC9" s="11" t="inlineStr">
        <is>
          <t>No</t>
        </is>
      </c>
      <c r="AD9" s="11" t="inlineStr">
        <is>
          <t>Yes</t>
        </is>
      </c>
      <c r="AE9" s="5" t="inlineStr">
        <is>
          <t>POSSIBLY QUIET · MEDIUM risk · low confidence</t>
        </is>
      </c>
      <c r="AF9" s="4" t="n">
        <v>52</v>
      </c>
      <c r="AG9" s="5" t="inlineStr">
        <is>
          <t>0 m from Avenida Paseo de la República (major road); no nightclub mapped within 500 m; listing says interior-facing / contrafrente; listing address is on Avenida Paseo de la República — a major arterial (Vía Expresa); portal location is approximate. Quietness estimate: low confidence.</t>
        </is>
      </c>
      <c r="AH9" s="4" t="n">
        <v>0</v>
      </c>
      <c r="AI9" s="4" t="n">
        <v>1117</v>
      </c>
      <c r="AJ9" s="4" t="n">
        <v>0</v>
      </c>
      <c r="AK9" s="5" t="inlineStr">
        <is>
          <t>supermarket 180 m, pharmacy 215 m, park 293 m, café 59 m, bus/Metropolitano stop 177 m, Malecón 463 m</t>
        </is>
      </c>
      <c r="AL9" s="5" t="inlineStr">
        <is>
          <t>2 months min.</t>
        </is>
      </c>
      <c r="AM9" s="5" t="inlineStr">
        <is>
          <t>2 months deposit</t>
        </is>
      </c>
      <c r="AN9" s="11" t="inlineStr">
        <is>
          <t>UNKNOWN</t>
        </is>
      </c>
      <c r="AO9" s="11" t="inlineStr">
        <is>
          <t>UNKNOWN</t>
        </is>
      </c>
      <c r="AP9" s="11" t="inlineStr">
        <is>
          <t>LIKELY_ACTIVE</t>
        </is>
      </c>
      <c r="AQ9" s="5" t="inlineStr">
        <is>
          <t>interior-facing; all-in ≈ USD 753/month; balcony/terrace</t>
        </is>
      </c>
      <c r="AR9" s="5" t="inlineStr">
        <is>
          <t>on a major arterial (see noise evidence) — check traffic noise in the bedroom</t>
        </is>
      </c>
      <c r="AS9" s="5" t="inlineStr">
        <is>
          <t>APPROXIMATE_LOCATION; DIRECT_MAJOR_AVENUE; INCOMPLETE_ADDRESS; INCOMPLETE_CONTACT; NO_PUBLICATION_DATE; ON_MAJOR_ARTERIAL; POSSIBLE_DUPLICATE; PRICE_CONVERTED_FROM_PEN</t>
        </is>
      </c>
      <c r="AT9" s="11" t="inlineStr">
        <is>
          <t>UNKNOWN</t>
        </is>
      </c>
      <c r="AU9" s="11" t="inlineStr">
        <is>
          <t>minimum stay 2 months</t>
        </is>
      </c>
      <c r="AV9" s="11" t="inlineStr">
        <is>
          <t>UNKNOWN</t>
        </is>
      </c>
      <c r="AW9" s="11" t="inlineStr">
        <is>
          <t>UNKNOWN</t>
        </is>
      </c>
      <c r="AX9" s="5" t="inlineStr">
        <is>
          <t>Adondevivir + Urbania</t>
        </is>
      </c>
      <c r="AY9" s="4" t="n">
        <v>2</v>
      </c>
      <c r="AZ9" s="11" t="inlineStr">
        <is>
          <t>G0008</t>
        </is>
      </c>
      <c r="BA9" s="11" t="inlineStr"/>
      <c r="BB9" s="9" t="inlineStr">
        <is>
          <t>View listing</t>
        </is>
      </c>
      <c r="BC9" s="11" t="inlineStr">
        <is>
          <t>—</t>
        </is>
      </c>
      <c r="BD9" s="9" t="inlineStr">
        <is>
          <t>Open map</t>
        </is>
      </c>
      <c r="BE9" s="5" t="inlineStr">
        <is>
          <t>GEOCODED_TEXT / STREET_LEVEL</t>
        </is>
      </c>
      <c r="BF9" s="5" t="inlineStr">
        <is>
          <t>UNVERIFIED_NOT_RETURNED</t>
        </is>
      </c>
      <c r="BG9" s="5" t="inlineStr">
        <is>
          <t>no contact channel; Apify re-check (1 items, USD 0.022) did not return this listing — open the link manually</t>
        </is>
      </c>
    </row>
    <row r="10">
      <c r="A10" s="4" t="n">
        <v>6</v>
      </c>
      <c r="B10" s="14" t="n">
        <v>64.8</v>
      </c>
      <c r="C10" s="5" t="inlineStr">
        <is>
          <t>1BR · 71 m² — Miraflores · ID 150877601</t>
        </is>
      </c>
      <c r="D10" s="11" t="inlineStr">
        <is>
          <t>PRIMARY</t>
        </is>
      </c>
      <c r="E10" s="11" t="inlineStr"/>
      <c r="F10" s="6" t="n">
        <v>886.26</v>
      </c>
      <c r="G10" s="11" t="inlineStr">
        <is>
          <t>PEN 3,000</t>
        </is>
      </c>
      <c r="H10" s="11" t="inlineStr">
        <is>
          <t>CALCULATED</t>
        </is>
      </c>
      <c r="I10" s="15" t="n">
        <v>3000</v>
      </c>
      <c r="J10" s="5" t="inlineStr">
        <is>
          <t>S/ 330 (≈ USD 97)</t>
        </is>
      </c>
      <c r="K10" s="11" t="inlineStr">
        <is>
          <t>PUBLISHED</t>
        </is>
      </c>
      <c r="L10" s="6" t="n">
        <v>983.75</v>
      </c>
      <c r="M10" s="11" t="inlineStr">
        <is>
          <t>STRICT_ALL_IN</t>
        </is>
      </c>
      <c r="N10" s="11" t="inlineStr">
        <is>
          <t>all-in ≈ USD 984</t>
        </is>
      </c>
      <c r="O10" s="4" t="n">
        <v>1</v>
      </c>
      <c r="P10" s="16" t="n">
        <v>2</v>
      </c>
      <c r="Q10" s="4" t="n">
        <v>71</v>
      </c>
      <c r="R10" s="11" t="inlineStr">
        <is>
          <t>total</t>
        </is>
      </c>
      <c r="S10" s="5" t="inlineStr">
        <is>
          <t>VERY_SPACIOUS</t>
        </is>
      </c>
      <c r="T10" s="14" t="n">
        <v>12.48</v>
      </c>
      <c r="U10" s="11" t="inlineStr">
        <is>
          <t>EXCELLENT_VALUE</t>
        </is>
      </c>
      <c r="V10" s="11" t="inlineStr">
        <is>
          <t>Yes</t>
        </is>
      </c>
      <c r="W10" s="11" t="inlineStr">
        <is>
          <t>UNKNOWN</t>
        </is>
      </c>
      <c r="X10" s="5" t="inlineStr">
        <is>
          <t>UNKNOWN</t>
        </is>
      </c>
      <c r="Y10" s="11" t="inlineStr">
        <is>
          <t>Yes</t>
        </is>
      </c>
      <c r="Z10" s="11" t="inlineStr">
        <is>
          <t>UNKNOWN</t>
        </is>
      </c>
      <c r="AA10" s="11" t="inlineStr">
        <is>
          <t>UNKNOWN</t>
        </is>
      </c>
      <c r="AB10" s="11" t="inlineStr">
        <is>
          <t>UNKNOWN</t>
        </is>
      </c>
      <c r="AC10" s="5" t="inlineStr">
        <is>
          <t>UNKNOWN</t>
        </is>
      </c>
      <c r="AD10" s="11" t="inlineStr">
        <is>
          <t>Yes</t>
        </is>
      </c>
      <c r="AE10" s="5" t="inlineStr">
        <is>
          <t>POSSIBLY QUIET · MEDIUM risk · low confidence</t>
        </is>
      </c>
      <c r="AF10" s="4" t="n">
        <v>56</v>
      </c>
      <c r="AG10" s="5" t="inlineStr">
        <is>
          <t>No usable coordinates — text evidence only; listing says interior-facing / contrafrente. Quietness estimate: low confidence.</t>
        </is>
      </c>
      <c r="AH10" s="11" t="inlineStr">
        <is>
          <t>UNKNOWN</t>
        </is>
      </c>
      <c r="AI10" s="11" t="inlineStr">
        <is>
          <t>UNKNOWN</t>
        </is>
      </c>
      <c r="AJ10" s="11" t="inlineStr">
        <is>
          <t>UNKNOWN</t>
        </is>
      </c>
      <c r="AK10" s="5" t="inlineStr">
        <is>
          <t>location data unavailable (neutral score)</t>
        </is>
      </c>
      <c r="AL10" s="5" t="inlineStr">
        <is>
          <t>12 months min.</t>
        </is>
      </c>
      <c r="AM10" s="5" t="inlineStr">
        <is>
          <t>2 months deposit; 1 in advance</t>
        </is>
      </c>
      <c r="AN10" s="11" t="inlineStr">
        <is>
          <t>UNKNOWN</t>
        </is>
      </c>
      <c r="AO10" s="11" t="inlineStr">
        <is>
          <t>UNKNOWN</t>
        </is>
      </c>
      <c r="AP10" s="11" t="inlineStr">
        <is>
          <t>LIKELY_ACTIVE</t>
        </is>
      </c>
      <c r="AQ10" s="5" t="inlineStr">
        <is>
          <t>71 m² area — very spacious for a 1-bedroom; interior-facing; USD 12.5/m² (excellent value vs other 1BR in sample)</t>
        </is>
      </c>
      <c r="AR10" s="5" t="inlineStr">
        <is>
          <t>no map location — noise estimate is text-only</t>
        </is>
      </c>
      <c r="AS10" s="5" t="inlineStr">
        <is>
          <t>INCOMPLETE_ADDRESS; INCOMPLETE_CONTACT; NO_COORDINATES; NO_PUBLICATION_DATE; POSSIBLE_DUPLICATE; PRICE_CONVERTED_FROM_PEN</t>
        </is>
      </c>
      <c r="AT10" s="11" t="inlineStr">
        <is>
          <t>UNKNOWN</t>
        </is>
      </c>
      <c r="AU10" s="5" t="inlineStr">
        <is>
          <t>furnished; minimum stay 12 months</t>
        </is>
      </c>
      <c r="AV10" s="11" t="inlineStr">
        <is>
          <t>UNKNOWN</t>
        </is>
      </c>
      <c r="AW10" s="11" t="inlineStr">
        <is>
          <t>UNKNOWN</t>
        </is>
      </c>
      <c r="AX10" s="11" t="inlineStr">
        <is>
          <t>Adondevivir</t>
        </is>
      </c>
      <c r="AY10" s="4" t="n">
        <v>1</v>
      </c>
      <c r="AZ10" s="11" t="inlineStr">
        <is>
          <t>G0021</t>
        </is>
      </c>
      <c r="BA10" s="11" t="inlineStr"/>
      <c r="BB10" s="9" t="inlineStr">
        <is>
          <t>View listing</t>
        </is>
      </c>
      <c r="BC10" s="11" t="inlineStr">
        <is>
          <t>—</t>
        </is>
      </c>
      <c r="BD10" s="11" t="inlineStr">
        <is>
          <t>—</t>
        </is>
      </c>
      <c r="BE10" s="11" t="inlineStr">
        <is>
          <t>none / -</t>
        </is>
      </c>
      <c r="BF10" s="5" t="inlineStr">
        <is>
          <t>UNVERIFIED_NOT_RETURNED</t>
        </is>
      </c>
      <c r="BG10" s="5" t="inlineStr">
        <is>
          <t>no contact channel; Apify re-check (0 items, USD 0.000) did not return this listing — open the link manually</t>
        </is>
      </c>
    </row>
    <row r="11">
      <c r="A11" s="4" t="n">
        <v>7</v>
      </c>
      <c r="B11" s="14" t="n">
        <v>64.40000000000001</v>
      </c>
      <c r="C11" s="5" t="inlineStr">
        <is>
          <t>1BR · 45 m² — Miraflores · ID 146109648</t>
        </is>
      </c>
      <c r="D11" s="11" t="inlineStr">
        <is>
          <t>PRIMARY</t>
        </is>
      </c>
      <c r="E11" s="11" t="inlineStr"/>
      <c r="F11" s="6" t="n">
        <v>724.37</v>
      </c>
      <c r="G11" s="11" t="inlineStr">
        <is>
          <t>PEN 2,452</t>
        </is>
      </c>
      <c r="H11" s="11" t="inlineStr">
        <is>
          <t>CALCULATED</t>
        </is>
      </c>
      <c r="I11" s="15" t="n">
        <v>2452</v>
      </c>
      <c r="J11" s="5" t="inlineStr">
        <is>
          <t>S/ 250 (≈ USD 74)</t>
        </is>
      </c>
      <c r="K11" s="11" t="inlineStr">
        <is>
          <t>PUBLISHED</t>
        </is>
      </c>
      <c r="L11" s="6" t="n">
        <v>798.23</v>
      </c>
      <c r="M11" s="11" t="inlineStr">
        <is>
          <t>STRICT_ALL_IN</t>
        </is>
      </c>
      <c r="N11" s="11" t="inlineStr">
        <is>
          <t>all-in ≈ USD 798</t>
        </is>
      </c>
      <c r="O11" s="4" t="n">
        <v>1</v>
      </c>
      <c r="P11" s="16" t="n">
        <v>1</v>
      </c>
      <c r="Q11" s="4" t="n">
        <v>45</v>
      </c>
      <c r="R11" s="11" t="inlineStr">
        <is>
          <t>total</t>
        </is>
      </c>
      <c r="S11" s="11" t="inlineStr">
        <is>
          <t>ACCEPTABLE</t>
        </is>
      </c>
      <c r="T11" s="14" t="n">
        <v>16.1</v>
      </c>
      <c r="U11" s="11" t="inlineStr">
        <is>
          <t>GOOD_VALUE</t>
        </is>
      </c>
      <c r="V11" s="11" t="inlineStr">
        <is>
          <t>Yes</t>
        </is>
      </c>
      <c r="W11" s="11" t="inlineStr">
        <is>
          <t>UNKNOWN</t>
        </is>
      </c>
      <c r="X11" s="11" t="n">
        <v>15</v>
      </c>
      <c r="Y11" s="11" t="inlineStr">
        <is>
          <t>Yes</t>
        </is>
      </c>
      <c r="Z11" s="11" t="inlineStr">
        <is>
          <t>UNKNOWN</t>
        </is>
      </c>
      <c r="AA11" s="11" t="inlineStr">
        <is>
          <t>Yes</t>
        </is>
      </c>
      <c r="AB11" s="11" t="inlineStr">
        <is>
          <t>Yes</t>
        </is>
      </c>
      <c r="AC11" s="5" t="inlineStr">
        <is>
          <t>UNKNOWN</t>
        </is>
      </c>
      <c r="AD11" s="11" t="inlineStr">
        <is>
          <t>UNKNOWN</t>
        </is>
      </c>
      <c r="AE11" s="5" t="inlineStr">
        <is>
          <t>NOISE UNCERTAIN · MEDIUM risk · low confidence</t>
        </is>
      </c>
      <c r="AF11" s="4" t="n">
        <v>52</v>
      </c>
      <c r="AG11" s="5" t="inlineStr">
        <is>
          <t>No usable coordinates — text evidence only; high floor (15). Quietness estimate: low confidence.</t>
        </is>
      </c>
      <c r="AH11" s="11" t="inlineStr">
        <is>
          <t>UNKNOWN</t>
        </is>
      </c>
      <c r="AI11" s="11" t="inlineStr">
        <is>
          <t>UNKNOWN</t>
        </is>
      </c>
      <c r="AJ11" s="11" t="inlineStr">
        <is>
          <t>UNKNOWN</t>
        </is>
      </c>
      <c r="AK11" s="5" t="inlineStr">
        <is>
          <t>location data unavailable (neutral score)</t>
        </is>
      </c>
      <c r="AL11" s="11" t="inlineStr">
        <is>
          <t>UNKNOWN</t>
        </is>
      </c>
      <c r="AM11" s="11" t="inlineStr">
        <is>
          <t>UNKNOWN</t>
        </is>
      </c>
      <c r="AN11" s="11" t="inlineStr">
        <is>
          <t>UNKNOWN</t>
        </is>
      </c>
      <c r="AO11" s="11" t="inlineStr">
        <is>
          <t>UNKNOWN</t>
        </is>
      </c>
      <c r="AP11" s="11" t="inlineStr">
        <is>
          <t>LIKELY_ACTIVE</t>
        </is>
      </c>
      <c r="AQ11" s="5" t="inlineStr">
        <is>
          <t>USD 16.1/m² (good value vs other 1BR in sample); all-in ≈ USD 798/month; furnished</t>
        </is>
      </c>
      <c r="AR11" s="5" t="inlineStr">
        <is>
          <t>no map location — noise estimate is text-only</t>
        </is>
      </c>
      <c r="AS11" s="5" t="inlineStr">
        <is>
          <t>INCOMPLETE_ADDRESS; INCOMPLETE_CONTACT; NO_COORDINATES; NO_PUBLICATION_DATE; PRICE_CONVERTED_FROM_PEN; STUDIO_WORDING</t>
        </is>
      </c>
      <c r="AT11" s="11" t="inlineStr">
        <is>
          <t>UNKNOWN</t>
        </is>
      </c>
      <c r="AU11" s="11" t="inlineStr">
        <is>
          <t>furnished</t>
        </is>
      </c>
      <c r="AV11" s="11" t="inlineStr">
        <is>
          <t>UNKNOWN</t>
        </is>
      </c>
      <c r="AW11" s="11" t="inlineStr">
        <is>
          <t>UNKNOWN</t>
        </is>
      </c>
      <c r="AX11" s="11" t="inlineStr">
        <is>
          <t>Adondevivir</t>
        </is>
      </c>
      <c r="AY11" s="4" t="n">
        <v>1</v>
      </c>
      <c r="AZ11" s="11" t="inlineStr">
        <is>
          <t>G0023</t>
        </is>
      </c>
      <c r="BA11" s="11" t="inlineStr"/>
      <c r="BB11" s="9" t="inlineStr">
        <is>
          <t>View listing</t>
        </is>
      </c>
      <c r="BC11" s="11" t="inlineStr">
        <is>
          <t>—</t>
        </is>
      </c>
      <c r="BD11" s="11" t="inlineStr">
        <is>
          <t>—</t>
        </is>
      </c>
      <c r="BE11" s="11" t="inlineStr">
        <is>
          <t>none / -</t>
        </is>
      </c>
      <c r="BF11" s="5" t="inlineStr">
        <is>
          <t>UNVERIFIED_NOT_RETURNED</t>
        </is>
      </c>
      <c r="BG11" s="5" t="inlineStr">
        <is>
          <t>no contact channel; Apify re-check (0 items, USD 0.000) did not return this listing — open the link manually</t>
        </is>
      </c>
    </row>
    <row r="12">
      <c r="A12" s="4" t="n">
        <v>8</v>
      </c>
      <c r="B12" s="14" t="n">
        <v>64.40000000000001</v>
      </c>
      <c r="C12" s="5" t="inlineStr">
        <is>
          <t>1BR · 43 m² — Miraflores · ID 151124896</t>
        </is>
      </c>
      <c r="D12" s="11" t="inlineStr">
        <is>
          <t>PRIMARY</t>
        </is>
      </c>
      <c r="E12" s="11" t="inlineStr"/>
      <c r="F12" s="6" t="n">
        <v>746.8200000000001</v>
      </c>
      <c r="G12" s="11" t="inlineStr">
        <is>
          <t>PEN 2,528</t>
        </is>
      </c>
      <c r="H12" s="11" t="inlineStr">
        <is>
          <t>CALCULATED</t>
        </is>
      </c>
      <c r="I12" s="15" t="n">
        <v>2528</v>
      </c>
      <c r="J12" s="5" t="inlineStr">
        <is>
          <t>S/ 290 (≈ USD 86)</t>
        </is>
      </c>
      <c r="K12" s="11" t="inlineStr">
        <is>
          <t>PUBLISHED</t>
        </is>
      </c>
      <c r="L12" s="6" t="n">
        <v>832.49</v>
      </c>
      <c r="M12" s="11" t="inlineStr">
        <is>
          <t>STRICT_ALL_IN</t>
        </is>
      </c>
      <c r="N12" s="11" t="inlineStr">
        <is>
          <t>all-in ≈ USD 832</t>
        </is>
      </c>
      <c r="O12" s="4" t="n">
        <v>1</v>
      </c>
      <c r="P12" s="16" t="n">
        <v>1</v>
      </c>
      <c r="Q12" s="4" t="n">
        <v>43</v>
      </c>
      <c r="R12" s="11" t="inlineStr">
        <is>
          <t>total</t>
        </is>
      </c>
      <c r="S12" s="11" t="inlineStr">
        <is>
          <t>ACCEPTABLE</t>
        </is>
      </c>
      <c r="T12" s="14" t="n">
        <v>17.37</v>
      </c>
      <c r="U12" s="11" t="inlineStr">
        <is>
          <t>FAIR_VALUE</t>
        </is>
      </c>
      <c r="V12" s="11" t="inlineStr">
        <is>
          <t>Yes</t>
        </is>
      </c>
      <c r="W12" s="11" t="inlineStr">
        <is>
          <t>UNKNOWN</t>
        </is>
      </c>
      <c r="X12" s="11" t="n">
        <v>3</v>
      </c>
      <c r="Y12" s="11" t="inlineStr">
        <is>
          <t>Yes</t>
        </is>
      </c>
      <c r="Z12" s="11" t="inlineStr">
        <is>
          <t>Yes</t>
        </is>
      </c>
      <c r="AA12" s="11" t="inlineStr">
        <is>
          <t>UNKNOWN</t>
        </is>
      </c>
      <c r="AB12" s="11" t="inlineStr">
        <is>
          <t>Yes</t>
        </is>
      </c>
      <c r="AC12" s="5" t="inlineStr">
        <is>
          <t>UNKNOWN</t>
        </is>
      </c>
      <c r="AD12" s="11" t="inlineStr">
        <is>
          <t>UNKNOWN</t>
        </is>
      </c>
      <c r="AE12" s="5" t="inlineStr">
        <is>
          <t>NOISE UNCERTAIN · MEDIUM risk · low confidence</t>
        </is>
      </c>
      <c r="AF12" s="4" t="n">
        <v>52</v>
      </c>
      <c r="AG12" s="5" t="inlineStr">
        <is>
          <t>No usable coordinates — text evidence only; seller describes the street as quiet (unverified claim). Quietness estimate: low confidence.</t>
        </is>
      </c>
      <c r="AH12" s="11" t="inlineStr">
        <is>
          <t>UNKNOWN</t>
        </is>
      </c>
      <c r="AI12" s="11" t="inlineStr">
        <is>
          <t>UNKNOWN</t>
        </is>
      </c>
      <c r="AJ12" s="11" t="inlineStr">
        <is>
          <t>UNKNOWN</t>
        </is>
      </c>
      <c r="AK12" s="5" t="inlineStr">
        <is>
          <t>location data unavailable (neutral score)</t>
        </is>
      </c>
      <c r="AL12" s="5" t="inlineStr">
        <is>
          <t>12 months min.</t>
        </is>
      </c>
      <c r="AM12" s="5" t="inlineStr">
        <is>
          <t>2 months deposit; 1 in advance</t>
        </is>
      </c>
      <c r="AN12" s="11" t="inlineStr">
        <is>
          <t>UNKNOWN</t>
        </is>
      </c>
      <c r="AO12" s="11" t="inlineStr">
        <is>
          <t>UNKNOWN</t>
        </is>
      </c>
      <c r="AP12" s="11" t="inlineStr">
        <is>
          <t>LIKELY_ACTIVE</t>
        </is>
      </c>
      <c r="AQ12" s="5" t="inlineStr">
        <is>
          <t>all-in ≈ USD 832/month; furnished; building security/controlled access</t>
        </is>
      </c>
      <c r="AR12" s="5" t="inlineStr">
        <is>
          <t>no map location — noise estimate is text-only</t>
        </is>
      </c>
      <c r="AS12" s="5" t="inlineStr">
        <is>
          <t>INCOMPLETE_ADDRESS; INCOMPLETE_CONTACT; NO_COORDINATES; NO_PUBLICATION_DATE; PRICE_CONVERTED_FROM_PEN</t>
        </is>
      </c>
      <c r="AT12" s="11" t="inlineStr">
        <is>
          <t>UNKNOWN</t>
        </is>
      </c>
      <c r="AU12" s="5" t="inlineStr">
        <is>
          <t>furnished; minimum stay 12 months</t>
        </is>
      </c>
      <c r="AV12" s="11" t="inlineStr">
        <is>
          <t>UNKNOWN</t>
        </is>
      </c>
      <c r="AW12" s="11" t="inlineStr">
        <is>
          <t>UNKNOWN</t>
        </is>
      </c>
      <c r="AX12" s="11" t="inlineStr">
        <is>
          <t>Urbania</t>
        </is>
      </c>
      <c r="AY12" s="4" t="n">
        <v>1</v>
      </c>
      <c r="AZ12" s="11" t="inlineStr">
        <is>
          <t>G0002</t>
        </is>
      </c>
      <c r="BA12" s="11" t="inlineStr"/>
      <c r="BB12" s="9" t="inlineStr">
        <is>
          <t>View listing</t>
        </is>
      </c>
      <c r="BC12" s="11" t="inlineStr">
        <is>
          <t>—</t>
        </is>
      </c>
      <c r="BD12" s="11" t="inlineStr">
        <is>
          <t>—</t>
        </is>
      </c>
      <c r="BE12" s="11" t="inlineStr">
        <is>
          <t>none / -</t>
        </is>
      </c>
      <c r="BF12" s="5" t="inlineStr">
        <is>
          <t>UNVERIFIED_NOT_RETURNED</t>
        </is>
      </c>
      <c r="BG12" s="5" t="inlineStr">
        <is>
          <t>no contact channel; Apify re-check (1 items, USD 0.022) did not return this listing — open the link manually</t>
        </is>
      </c>
    </row>
    <row r="13">
      <c r="A13" s="4" t="n">
        <v>9</v>
      </c>
      <c r="B13" s="14" t="n">
        <v>64.3</v>
      </c>
      <c r="C13" s="5" t="inlineStr">
        <is>
          <t>1BR · 71 m² — Miraflores · ID 150869056</t>
        </is>
      </c>
      <c r="D13" s="11" t="inlineStr">
        <is>
          <t>PRIMARY</t>
        </is>
      </c>
      <c r="E13" s="11" t="inlineStr"/>
      <c r="F13" s="6" t="n">
        <v>886.26</v>
      </c>
      <c r="G13" s="11" t="inlineStr">
        <is>
          <t>PEN 3,000</t>
        </is>
      </c>
      <c r="H13" s="11" t="inlineStr">
        <is>
          <t>CALCULATED</t>
        </is>
      </c>
      <c r="I13" s="15" t="n">
        <v>3000</v>
      </c>
      <c r="J13" s="5" t="inlineStr">
        <is>
          <t>S/ 330 (≈ USD 97)</t>
        </is>
      </c>
      <c r="K13" s="11" t="inlineStr">
        <is>
          <t>PUBLISHED</t>
        </is>
      </c>
      <c r="L13" s="6" t="n">
        <v>983.75</v>
      </c>
      <c r="M13" s="11" t="inlineStr">
        <is>
          <t>STRICT_ALL_IN</t>
        </is>
      </c>
      <c r="N13" s="11" t="inlineStr">
        <is>
          <t>all-in ≈ USD 984</t>
        </is>
      </c>
      <c r="O13" s="4" t="n">
        <v>1</v>
      </c>
      <c r="P13" s="16" t="n">
        <v>2</v>
      </c>
      <c r="Q13" s="4" t="n">
        <v>71</v>
      </c>
      <c r="R13" s="11" t="inlineStr">
        <is>
          <t>total</t>
        </is>
      </c>
      <c r="S13" s="5" t="inlineStr">
        <is>
          <t>VERY_SPACIOUS</t>
        </is>
      </c>
      <c r="T13" s="14" t="n">
        <v>12.48</v>
      </c>
      <c r="U13" s="11" t="inlineStr">
        <is>
          <t>EXCELLENT_VALUE</t>
        </is>
      </c>
      <c r="V13" s="11" t="inlineStr">
        <is>
          <t>Yes</t>
        </is>
      </c>
      <c r="W13" s="11" t="inlineStr">
        <is>
          <t>UNKNOWN</t>
        </is>
      </c>
      <c r="X13" s="5" t="inlineStr">
        <is>
          <t>UNKNOWN</t>
        </is>
      </c>
      <c r="Y13" s="11" t="inlineStr">
        <is>
          <t>Yes</t>
        </is>
      </c>
      <c r="Z13" s="11" t="inlineStr">
        <is>
          <t>UNKNOWN</t>
        </is>
      </c>
      <c r="AA13" s="11" t="inlineStr">
        <is>
          <t>UNKNOWN</t>
        </is>
      </c>
      <c r="AB13" s="11" t="inlineStr">
        <is>
          <t>UNKNOWN</t>
        </is>
      </c>
      <c r="AC13" s="5" t="inlineStr">
        <is>
          <t>UNKNOWN</t>
        </is>
      </c>
      <c r="AD13" s="11" t="inlineStr">
        <is>
          <t>UNKNOWN</t>
        </is>
      </c>
      <c r="AE13" s="5" t="inlineStr">
        <is>
          <t>NOISE UNCERTAIN · UNKNOWN risk · low confidence</t>
        </is>
      </c>
      <c r="AF13" s="11" t="inlineStr">
        <is>
          <t>—</t>
        </is>
      </c>
      <c r="AG13" s="5" t="inlineStr">
        <is>
          <t>No map location and no noise-related wording in the listing — street exposure unknown. Quietness estimate: low confidence.</t>
        </is>
      </c>
      <c r="AH13" s="11" t="inlineStr">
        <is>
          <t>UNKNOWN</t>
        </is>
      </c>
      <c r="AI13" s="11" t="inlineStr">
        <is>
          <t>UNKNOWN</t>
        </is>
      </c>
      <c r="AJ13" s="11" t="inlineStr">
        <is>
          <t>UNKNOWN</t>
        </is>
      </c>
      <c r="AK13" s="5" t="inlineStr">
        <is>
          <t>location data unavailable (neutral score)</t>
        </is>
      </c>
      <c r="AL13" s="11" t="inlineStr">
        <is>
          <t>UNKNOWN</t>
        </is>
      </c>
      <c r="AM13" s="11" t="inlineStr">
        <is>
          <t>UNKNOWN</t>
        </is>
      </c>
      <c r="AN13" s="11" t="inlineStr">
        <is>
          <t>UNKNOWN</t>
        </is>
      </c>
      <c r="AO13" s="11" t="inlineStr">
        <is>
          <t>UNKNOWN</t>
        </is>
      </c>
      <c r="AP13" s="11" t="inlineStr">
        <is>
          <t>LIKELY_ACTIVE</t>
        </is>
      </c>
      <c r="AQ13" s="5" t="inlineStr">
        <is>
          <t>71 m² area — very spacious for a 1-bedroom; USD 12.5/m² (excellent value vs other 1BR in sample); furnished</t>
        </is>
      </c>
      <c r="AR13" s="5" t="inlineStr">
        <is>
          <t>no map location — noise estimate is text-only</t>
        </is>
      </c>
      <c r="AS13" s="5" t="inlineStr">
        <is>
          <t>INCOMPLETE_ADDRESS; INCOMPLETE_CONTACT; NO_COORDINATES; NO_PUBLICATION_DATE; POSSIBLE_DUPLICATE; PRICE_CONVERTED_FROM_PEN</t>
        </is>
      </c>
      <c r="AT13" s="11" t="inlineStr">
        <is>
          <t>UNKNOWN</t>
        </is>
      </c>
      <c r="AU13" s="11" t="inlineStr">
        <is>
          <t>furnished</t>
        </is>
      </c>
      <c r="AV13" s="11" t="inlineStr">
        <is>
          <t>UNKNOWN</t>
        </is>
      </c>
      <c r="AW13" s="11" t="inlineStr">
        <is>
          <t>UNKNOWN</t>
        </is>
      </c>
      <c r="AX13" s="5" t="inlineStr">
        <is>
          <t>Adondevivir + Urbania</t>
        </is>
      </c>
      <c r="AY13" s="4" t="n">
        <v>2</v>
      </c>
      <c r="AZ13" s="11" t="inlineStr">
        <is>
          <t>G0009</t>
        </is>
      </c>
      <c r="BA13" s="11" t="inlineStr"/>
      <c r="BB13" s="9" t="inlineStr">
        <is>
          <t>View listing</t>
        </is>
      </c>
      <c r="BC13" s="11" t="inlineStr">
        <is>
          <t>—</t>
        </is>
      </c>
      <c r="BD13" s="11" t="inlineStr">
        <is>
          <t>—</t>
        </is>
      </c>
      <c r="BE13" s="11" t="inlineStr">
        <is>
          <t>none / -</t>
        </is>
      </c>
      <c r="BF13" s="5" t="inlineStr">
        <is>
          <t>UNVERIFIED_NOT_RETURNED</t>
        </is>
      </c>
      <c r="BG13" s="5" t="inlineStr">
        <is>
          <t>no contact channel; Apify re-check (1 items, USD 0.022) did not return this listing — open the link manually</t>
        </is>
      </c>
    </row>
    <row r="14">
      <c r="A14" s="4" t="n">
        <v>10</v>
      </c>
      <c r="B14" s="14" t="n">
        <v>61.9</v>
      </c>
      <c r="C14" s="5" t="inlineStr">
        <is>
          <t>2BR · 96 m² — Miraflores · ID 151159973</t>
        </is>
      </c>
      <c r="D14" s="11" t="inlineStr">
        <is>
          <t>PRIMARY</t>
        </is>
      </c>
      <c r="E14" s="11" t="inlineStr"/>
      <c r="F14" s="6" t="n">
        <v>738.55</v>
      </c>
      <c r="G14" s="11" t="inlineStr">
        <is>
          <t>PEN 2,500</t>
        </is>
      </c>
      <c r="H14" s="11" t="inlineStr">
        <is>
          <t>CALCULATED</t>
        </is>
      </c>
      <c r="I14" s="15" t="n">
        <v>2500</v>
      </c>
      <c r="J14" s="5" t="inlineStr">
        <is>
          <t>S/ 260 (≈ USD 77)</t>
        </is>
      </c>
      <c r="K14" s="11" t="inlineStr">
        <is>
          <t>PUBLISHED</t>
        </is>
      </c>
      <c r="L14" s="6" t="n">
        <v>815.36</v>
      </c>
      <c r="M14" s="11" t="inlineStr">
        <is>
          <t>STRICT_ALL_IN</t>
        </is>
      </c>
      <c r="N14" s="11" t="inlineStr">
        <is>
          <t>all-in ≈ USD 815</t>
        </is>
      </c>
      <c r="O14" s="4" t="n">
        <v>2</v>
      </c>
      <c r="P14" s="16" t="n">
        <v>1</v>
      </c>
      <c r="Q14" s="4" t="n">
        <v>96</v>
      </c>
      <c r="R14" s="11" t="inlineStr">
        <is>
          <t>total</t>
        </is>
      </c>
      <c r="S14" s="5" t="inlineStr">
        <is>
          <t>VERY_SPACIOUS</t>
        </is>
      </c>
      <c r="T14" s="14" t="n">
        <v>7.69</v>
      </c>
      <c r="U14" s="11" t="inlineStr">
        <is>
          <t>EXCELLENT_VALUE</t>
        </is>
      </c>
      <c r="V14" s="11" t="inlineStr">
        <is>
          <t>No</t>
        </is>
      </c>
      <c r="W14" s="11" t="inlineStr">
        <is>
          <t>Yes</t>
        </is>
      </c>
      <c r="X14" s="5" t="inlineStr">
        <is>
          <t>UNKNOWN</t>
        </is>
      </c>
      <c r="Y14" s="11" t="inlineStr">
        <is>
          <t>UNKNOWN</t>
        </is>
      </c>
      <c r="Z14" s="11" t="inlineStr">
        <is>
          <t>Yes</t>
        </is>
      </c>
      <c r="AA14" s="11" t="inlineStr">
        <is>
          <t>UNKNOWN</t>
        </is>
      </c>
      <c r="AB14" s="11" t="inlineStr">
        <is>
          <t>UNKNOWN</t>
        </is>
      </c>
      <c r="AC14" s="5" t="inlineStr">
        <is>
          <t>UNKNOWN</t>
        </is>
      </c>
      <c r="AD14" s="11" t="inlineStr">
        <is>
          <t>UNKNOWN</t>
        </is>
      </c>
      <c r="AE14" s="5" t="inlineStr">
        <is>
          <t>NOISE UNCERTAIN · UNKNOWN risk · low confidence</t>
        </is>
      </c>
      <c r="AF14" s="11" t="inlineStr">
        <is>
          <t>—</t>
        </is>
      </c>
      <c r="AG14" s="5" t="inlineStr">
        <is>
          <t>No map location and no noise-related wording in the listing — street exposure unknown. Quietness estimate: low confidence.</t>
        </is>
      </c>
      <c r="AH14" s="11" t="inlineStr">
        <is>
          <t>UNKNOWN</t>
        </is>
      </c>
      <c r="AI14" s="11" t="inlineStr">
        <is>
          <t>UNKNOWN</t>
        </is>
      </c>
      <c r="AJ14" s="11" t="inlineStr">
        <is>
          <t>UNKNOWN</t>
        </is>
      </c>
      <c r="AK14" s="5" t="inlineStr">
        <is>
          <t>location data unavailable (neutral score)</t>
        </is>
      </c>
      <c r="AL14" s="11" t="inlineStr">
        <is>
          <t>UNKNOWN</t>
        </is>
      </c>
      <c r="AM14" s="11" t="inlineStr">
        <is>
          <t>UNKNOWN</t>
        </is>
      </c>
      <c r="AN14" s="11" t="inlineStr">
        <is>
          <t>UNKNOWN</t>
        </is>
      </c>
      <c r="AO14" s="11" t="inlineStr">
        <is>
          <t>UNKNOWN</t>
        </is>
      </c>
      <c r="AP14" s="11" t="inlineStr">
        <is>
          <t>LIKELY_ACTIVE</t>
        </is>
      </c>
      <c r="AQ14" s="5" t="inlineStr">
        <is>
          <t>96 m² area — very spacious for a 2-bedroom; USD 7.7/m² (excellent value vs other 2BR in sample); all-in ≈ USD 815/month</t>
        </is>
      </c>
      <c r="AR14" s="11" t="inlineStr">
        <is>
          <t>unfurnished</t>
        </is>
      </c>
      <c r="AS14" s="5" t="inlineStr">
        <is>
          <t>INCOMPLETE_ADDRESS; INCOMPLETE_CONTACT; NO_COORDINATES; NO_FURNITURE; NO_PUBLICATION_DATE; PRICE_CONVERTED_FROM_PEN</t>
        </is>
      </c>
      <c r="AT14" s="11" t="inlineStr">
        <is>
          <t>UNKNOWN</t>
        </is>
      </c>
      <c r="AU14" s="11" t="inlineStr">
        <is>
          <t>—</t>
        </is>
      </c>
      <c r="AV14" s="11" t="inlineStr">
        <is>
          <t>UNKNOWN</t>
        </is>
      </c>
      <c r="AW14" s="11" t="inlineStr">
        <is>
          <t>UNKNOWN</t>
        </is>
      </c>
      <c r="AX14" s="5" t="inlineStr">
        <is>
          <t>Adondevivir + Urbania</t>
        </is>
      </c>
      <c r="AY14" s="4" t="n">
        <v>2</v>
      </c>
      <c r="AZ14" s="11" t="inlineStr">
        <is>
          <t>G0013</t>
        </is>
      </c>
      <c r="BA14" s="11" t="inlineStr"/>
      <c r="BB14" s="9" t="inlineStr">
        <is>
          <t>View listing</t>
        </is>
      </c>
      <c r="BC14" s="11" t="inlineStr">
        <is>
          <t>—</t>
        </is>
      </c>
      <c r="BD14" s="11" t="inlineStr">
        <is>
          <t>—</t>
        </is>
      </c>
      <c r="BE14" s="11" t="inlineStr">
        <is>
          <t>none / -</t>
        </is>
      </c>
      <c r="BF14" s="5" t="inlineStr">
        <is>
          <t>UNVERIFIED_NOT_RETURNED</t>
        </is>
      </c>
      <c r="BG14" s="5" t="inlineStr">
        <is>
          <t>no contact channel; Apify re-check (1 items, USD 0.022) did not return this listing — open the link manually</t>
        </is>
      </c>
    </row>
    <row r="15">
      <c r="A15" s="4" t="n">
        <v>11</v>
      </c>
      <c r="B15" s="14" t="n">
        <v>61.7</v>
      </c>
      <c r="C15" s="5" t="inlineStr">
        <is>
          <t>2BR · 95 m² — Miraflores · ID 151011858</t>
        </is>
      </c>
      <c r="D15" s="11" t="inlineStr">
        <is>
          <t>PRIMARY</t>
        </is>
      </c>
      <c r="E15" s="11" t="inlineStr"/>
      <c r="F15" s="6" t="n">
        <v>853.77</v>
      </c>
      <c r="G15" s="11" t="inlineStr">
        <is>
          <t>PEN 2,890</t>
        </is>
      </c>
      <c r="H15" s="11" t="inlineStr">
        <is>
          <t>CALCULATED</t>
        </is>
      </c>
      <c r="I15" s="15" t="n">
        <v>2890</v>
      </c>
      <c r="J15" s="5" t="inlineStr">
        <is>
          <t>S/ 400 (≈ USD 118)</t>
        </is>
      </c>
      <c r="K15" s="11" t="inlineStr">
        <is>
          <t>PUBLISHED</t>
        </is>
      </c>
      <c r="L15" s="6" t="n">
        <v>971.9400000000001</v>
      </c>
      <c r="M15" s="11" t="inlineStr">
        <is>
          <t>STRICT_ALL_IN</t>
        </is>
      </c>
      <c r="N15" s="11" t="inlineStr">
        <is>
          <t>all-in ≈ USD 972</t>
        </is>
      </c>
      <c r="O15" s="4" t="n">
        <v>2</v>
      </c>
      <c r="P15" s="16" t="n">
        <v>2</v>
      </c>
      <c r="Q15" s="4" t="n">
        <v>95</v>
      </c>
      <c r="R15" s="11" t="inlineStr">
        <is>
          <t>total</t>
        </is>
      </c>
      <c r="S15" s="5" t="inlineStr">
        <is>
          <t>VERY_SPACIOUS</t>
        </is>
      </c>
      <c r="T15" s="14" t="n">
        <v>8.99</v>
      </c>
      <c r="U15" s="11" t="inlineStr">
        <is>
          <t>EXCELLENT_VALUE</t>
        </is>
      </c>
      <c r="V15" s="11" t="inlineStr">
        <is>
          <t>No</t>
        </is>
      </c>
      <c r="W15" s="11" t="inlineStr">
        <is>
          <t>Yes</t>
        </is>
      </c>
      <c r="X15" s="5" t="inlineStr">
        <is>
          <t>UNKNOWN</t>
        </is>
      </c>
      <c r="Y15" s="11" t="inlineStr">
        <is>
          <t>UNKNOWN</t>
        </is>
      </c>
      <c r="Z15" s="11" t="inlineStr">
        <is>
          <t>Yes</t>
        </is>
      </c>
      <c r="AA15" s="11" t="inlineStr">
        <is>
          <t>UNKNOWN</t>
        </is>
      </c>
      <c r="AB15" s="11" t="inlineStr">
        <is>
          <t>Yes</t>
        </is>
      </c>
      <c r="AC15" s="5" t="inlineStr">
        <is>
          <t>UNKNOWN</t>
        </is>
      </c>
      <c r="AD15" s="11" t="inlineStr">
        <is>
          <t>UNKNOWN</t>
        </is>
      </c>
      <c r="AE15" s="5" t="inlineStr">
        <is>
          <t>NOISE UNCERTAIN · UNKNOWN risk · low confidence</t>
        </is>
      </c>
      <c r="AF15" s="11" t="inlineStr">
        <is>
          <t>—</t>
        </is>
      </c>
      <c r="AG15" s="5" t="inlineStr">
        <is>
          <t>No map location and no noise-related wording in the listing — street exposure unknown. Quietness estimate: low confidence.</t>
        </is>
      </c>
      <c r="AH15" s="11" t="inlineStr">
        <is>
          <t>UNKNOWN</t>
        </is>
      </c>
      <c r="AI15" s="11" t="inlineStr">
        <is>
          <t>UNKNOWN</t>
        </is>
      </c>
      <c r="AJ15" s="11" t="inlineStr">
        <is>
          <t>UNKNOWN</t>
        </is>
      </c>
      <c r="AK15" s="5" t="inlineStr">
        <is>
          <t>location data unavailable (neutral score)</t>
        </is>
      </c>
      <c r="AL15" s="11" t="inlineStr">
        <is>
          <t>UNKNOWN</t>
        </is>
      </c>
      <c r="AM15" s="11" t="inlineStr">
        <is>
          <t>UNKNOWN</t>
        </is>
      </c>
      <c r="AN15" s="11" t="inlineStr">
        <is>
          <t>UNKNOWN</t>
        </is>
      </c>
      <c r="AO15" s="11" t="inlineStr">
        <is>
          <t>UNKNOWN</t>
        </is>
      </c>
      <c r="AP15" s="11" t="inlineStr">
        <is>
          <t>LIKELY_ACTIVE</t>
        </is>
      </c>
      <c r="AQ15" s="5" t="inlineStr">
        <is>
          <t>95 m² area — very spacious for a 2-bedroom; USD 9.0/m² (excellent value vs other 2BR in sample); building security/controlled access</t>
        </is>
      </c>
      <c r="AR15" s="11" t="inlineStr">
        <is>
          <t>unfurnished</t>
        </is>
      </c>
      <c r="AS15" s="5" t="inlineStr">
        <is>
          <t>INCOMPLETE_ADDRESS; INCOMPLETE_CONTACT; NO_COORDINATES; NO_FURNITURE; NO_PUBLICATION_DATE; PRICE_CONVERTED_FROM_PEN</t>
        </is>
      </c>
      <c r="AT15" s="11" t="inlineStr">
        <is>
          <t>UNKNOWN</t>
        </is>
      </c>
      <c r="AU15" s="11" t="inlineStr">
        <is>
          <t>—</t>
        </is>
      </c>
      <c r="AV15" s="11" t="inlineStr">
        <is>
          <t>UNKNOWN</t>
        </is>
      </c>
      <c r="AW15" s="11" t="inlineStr">
        <is>
          <t>UNKNOWN</t>
        </is>
      </c>
      <c r="AX15" s="11" t="inlineStr">
        <is>
          <t>Urbania</t>
        </is>
      </c>
      <c r="AY15" s="4" t="n">
        <v>1</v>
      </c>
      <c r="AZ15" s="11" t="inlineStr">
        <is>
          <t>G0011</t>
        </is>
      </c>
      <c r="BA15" s="11" t="inlineStr"/>
      <c r="BB15" s="9" t="inlineStr">
        <is>
          <t>View listing</t>
        </is>
      </c>
      <c r="BC15" s="11" t="inlineStr">
        <is>
          <t>—</t>
        </is>
      </c>
      <c r="BD15" s="11" t="inlineStr">
        <is>
          <t>—</t>
        </is>
      </c>
      <c r="BE15" s="11" t="inlineStr">
        <is>
          <t>none / -</t>
        </is>
      </c>
      <c r="BF15" s="11" t="inlineStr">
        <is>
          <t>PROGRAMMATIC_WARN</t>
        </is>
      </c>
      <c r="BG15" s="11" t="inlineStr">
        <is>
          <t>no contact channel</t>
        </is>
      </c>
    </row>
    <row r="16">
      <c r="A16" s="4" t="n">
        <v>12</v>
      </c>
      <c r="B16" s="14" t="n">
        <v>63.5</v>
      </c>
      <c r="C16" s="5" t="inlineStr">
        <is>
          <t>2BR · 80 m² — Miraflores · ID 150982482</t>
        </is>
      </c>
      <c r="D16" s="11" t="inlineStr">
        <is>
          <t>PRIMARY</t>
        </is>
      </c>
      <c r="E16" s="11" t="inlineStr"/>
      <c r="F16" s="6" t="n">
        <v>995.5700000000001</v>
      </c>
      <c r="G16" s="11" t="inlineStr">
        <is>
          <t>PEN 3,370</t>
        </is>
      </c>
      <c r="H16" s="11" t="inlineStr">
        <is>
          <t>CALCULATED</t>
        </is>
      </c>
      <c r="I16" s="15" t="n">
        <v>3370</v>
      </c>
      <c r="J16" s="5" t="inlineStr">
        <is>
          <t>S/ 350 (≈ USD 103)</t>
        </is>
      </c>
      <c r="K16" s="11" t="inlineStr">
        <is>
          <t>PUBLISHED</t>
        </is>
      </c>
      <c r="L16" s="6" t="n">
        <v>1098.97</v>
      </c>
      <c r="M16" s="5" t="inlineStr">
        <is>
          <t>BASE_RENT_COMPLIANT</t>
        </is>
      </c>
      <c r="N16" s="5" t="inlineStr">
        <is>
          <t>rent within budget but total ≈ USD 1,099 (over USD 1,000)</t>
        </is>
      </c>
      <c r="O16" s="4" t="n">
        <v>2</v>
      </c>
      <c r="P16" s="16" t="n">
        <v>2</v>
      </c>
      <c r="Q16" s="4" t="n">
        <v>80</v>
      </c>
      <c r="R16" s="11" t="inlineStr">
        <is>
          <t>total</t>
        </is>
      </c>
      <c r="S16" s="11" t="inlineStr">
        <is>
          <t>GOOD</t>
        </is>
      </c>
      <c r="T16" s="14" t="n">
        <v>12.44</v>
      </c>
      <c r="U16" s="11" t="inlineStr">
        <is>
          <t>GOOD_VALUE</t>
        </is>
      </c>
      <c r="V16" s="11" t="inlineStr">
        <is>
          <t>Yes</t>
        </is>
      </c>
      <c r="W16" s="11" t="inlineStr">
        <is>
          <t>UNKNOWN</t>
        </is>
      </c>
      <c r="X16" s="5" t="inlineStr">
        <is>
          <t>UNKNOWN</t>
        </is>
      </c>
      <c r="Y16" s="11" t="inlineStr">
        <is>
          <t>Yes</t>
        </is>
      </c>
      <c r="Z16" s="11" t="inlineStr">
        <is>
          <t>Yes</t>
        </is>
      </c>
      <c r="AA16" s="11" t="inlineStr">
        <is>
          <t>UNKNOWN</t>
        </is>
      </c>
      <c r="AB16" s="11" t="inlineStr">
        <is>
          <t>Yes</t>
        </is>
      </c>
      <c r="AC16" s="5" t="inlineStr">
        <is>
          <t>UNKNOWN</t>
        </is>
      </c>
      <c r="AD16" s="11" t="inlineStr">
        <is>
          <t>UNKNOWN</t>
        </is>
      </c>
      <c r="AE16" s="5" t="inlineStr">
        <is>
          <t>NOISE UNCERTAIN · MEDIUM risk · low confidence</t>
        </is>
      </c>
      <c r="AF16" s="4" t="n">
        <v>52</v>
      </c>
      <c r="AG16" s="5" t="inlineStr">
        <is>
          <t>No usable coordinates — text evidence only; seller describes the street as quiet (unverified claim). Quietness estimate: low confidence.</t>
        </is>
      </c>
      <c r="AH16" s="11" t="inlineStr">
        <is>
          <t>UNKNOWN</t>
        </is>
      </c>
      <c r="AI16" s="11" t="inlineStr">
        <is>
          <t>UNKNOWN</t>
        </is>
      </c>
      <c r="AJ16" s="11" t="inlineStr">
        <is>
          <t>UNKNOWN</t>
        </is>
      </c>
      <c r="AK16" s="5" t="inlineStr">
        <is>
          <t>location data unavailable (neutral score)</t>
        </is>
      </c>
      <c r="AL16" s="5" t="inlineStr">
        <is>
          <t>12 months min.</t>
        </is>
      </c>
      <c r="AM16" s="5" t="inlineStr">
        <is>
          <t>2 months deposit; 1 in advance</t>
        </is>
      </c>
      <c r="AN16" s="11" t="inlineStr">
        <is>
          <t>UNKNOWN</t>
        </is>
      </c>
      <c r="AO16" s="11" t="inlineStr">
        <is>
          <t>UNKNOWN</t>
        </is>
      </c>
      <c r="AP16" s="11" t="inlineStr">
        <is>
          <t>LIKELY_ACTIVE</t>
        </is>
      </c>
      <c r="AQ16" s="5" t="inlineStr">
        <is>
          <t>80 m² area — good for a 2-bedroom; USD 12.4/m² (good value vs other 2BR in sample); furnished</t>
        </is>
      </c>
      <c r="AR16" s="5" t="inlineStr">
        <is>
          <t>rent + maintenance ≈ USD 1,099 (USD 996 rent + S/ 350 maintenance) exceeds USD 1,000</t>
        </is>
      </c>
      <c r="AS16" s="5" t="inlineStr">
        <is>
          <t>INCOMPLETE_ADDRESS; INCOMPLETE_CONTACT; NO_COORDINATES; NO_PUBLICATION_DATE; POSSIBLE_DUPLICATE; PRICE_CONVERTED_FROM_PEN; TOTAL_COST_OVER_BUDGET</t>
        </is>
      </c>
      <c r="AT16" s="11" t="inlineStr">
        <is>
          <t>UNKNOWN</t>
        </is>
      </c>
      <c r="AU16" s="5" t="inlineStr">
        <is>
          <t>furnished; minimum stay 12 months</t>
        </is>
      </c>
      <c r="AV16" s="11" t="inlineStr">
        <is>
          <t>UNKNOWN</t>
        </is>
      </c>
      <c r="AW16" s="11" t="inlineStr">
        <is>
          <t>UNKNOWN</t>
        </is>
      </c>
      <c r="AX16" s="5" t="inlineStr">
        <is>
          <t>Adondevivir + Urbania</t>
        </is>
      </c>
      <c r="AY16" s="4" t="n">
        <v>2</v>
      </c>
      <c r="AZ16" s="11" t="inlineStr">
        <is>
          <t>G0016</t>
        </is>
      </c>
      <c r="BA16" s="11" t="inlineStr"/>
      <c r="BB16" s="9" t="inlineStr">
        <is>
          <t>View listing</t>
        </is>
      </c>
      <c r="BC16" s="11" t="inlineStr">
        <is>
          <t>—</t>
        </is>
      </c>
      <c r="BD16" s="11" t="inlineStr">
        <is>
          <t>—</t>
        </is>
      </c>
      <c r="BE16" s="11" t="inlineStr">
        <is>
          <t>none / -</t>
        </is>
      </c>
      <c r="BF16" s="11" t="inlineStr">
        <is>
          <t>PROGRAMMATIC_WARN</t>
        </is>
      </c>
      <c r="BG16" s="11" t="inlineStr">
        <is>
          <t>no contact channel</t>
        </is>
      </c>
    </row>
    <row r="17">
      <c r="A17" s="4" t="n">
        <v>13</v>
      </c>
      <c r="B17" s="14" t="n">
        <v>62.6</v>
      </c>
      <c r="C17" s="5" t="inlineStr">
        <is>
          <t>2BR · 87 m² — Miraflores · ID 151058338</t>
        </is>
      </c>
      <c r="D17" s="11" t="inlineStr">
        <is>
          <t>PRIMARY</t>
        </is>
      </c>
      <c r="E17" s="11" t="inlineStr"/>
      <c r="F17" s="6" t="n">
        <v>996.45</v>
      </c>
      <c r="G17" s="11" t="inlineStr">
        <is>
          <t>PEN 3,373</t>
        </is>
      </c>
      <c r="H17" s="11" t="inlineStr">
        <is>
          <t>CALCULATED</t>
        </is>
      </c>
      <c r="I17" s="15" t="n">
        <v>3373</v>
      </c>
      <c r="J17" s="5" t="inlineStr">
        <is>
          <t>S/ 350 (≈ USD 103)</t>
        </is>
      </c>
      <c r="K17" s="11" t="inlineStr">
        <is>
          <t>PUBLISHED</t>
        </is>
      </c>
      <c r="L17" s="6" t="n">
        <v>1099.85</v>
      </c>
      <c r="M17" s="5" t="inlineStr">
        <is>
          <t>BASE_RENT_COMPLIANT</t>
        </is>
      </c>
      <c r="N17" s="5" t="inlineStr">
        <is>
          <t>rent within budget but total ≈ USD 1,100 (over USD 1,000)</t>
        </is>
      </c>
      <c r="O17" s="4" t="n">
        <v>2</v>
      </c>
      <c r="P17" s="16" t="n">
        <v>2</v>
      </c>
      <c r="Q17" s="4" t="n">
        <v>87</v>
      </c>
      <c r="R17" s="11" t="inlineStr">
        <is>
          <t>total</t>
        </is>
      </c>
      <c r="S17" s="5" t="inlineStr">
        <is>
          <t>VERY_SPACIOUS</t>
        </is>
      </c>
      <c r="T17" s="14" t="n">
        <v>11.45</v>
      </c>
      <c r="U17" s="11" t="inlineStr">
        <is>
          <t>GOOD_VALUE</t>
        </is>
      </c>
      <c r="V17" s="11" t="inlineStr">
        <is>
          <t>Yes</t>
        </is>
      </c>
      <c r="W17" s="11" t="inlineStr">
        <is>
          <t>Yes</t>
        </is>
      </c>
      <c r="X17" s="11" t="n">
        <v>16</v>
      </c>
      <c r="Y17" s="11" t="inlineStr">
        <is>
          <t>Yes</t>
        </is>
      </c>
      <c r="Z17" s="11" t="inlineStr">
        <is>
          <t>Yes</t>
        </is>
      </c>
      <c r="AA17" s="11" t="inlineStr">
        <is>
          <t>UNKNOWN</t>
        </is>
      </c>
      <c r="AB17" s="11" t="inlineStr">
        <is>
          <t>UNKNOWN</t>
        </is>
      </c>
      <c r="AC17" s="5" t="inlineStr">
        <is>
          <t>UNKNOWN</t>
        </is>
      </c>
      <c r="AD17" s="11" t="inlineStr">
        <is>
          <t>UNKNOWN</t>
        </is>
      </c>
      <c r="AE17" s="5" t="inlineStr">
        <is>
          <t>NOISE UNCERTAIN · MEDIUM risk · low confidence</t>
        </is>
      </c>
      <c r="AF17" s="4" t="n">
        <v>52</v>
      </c>
      <c r="AG17" s="5" t="inlineStr">
        <is>
          <t>No usable coordinates — text evidence only; high floor (16). Quietness estimate: low confidence.</t>
        </is>
      </c>
      <c r="AH17" s="11" t="inlineStr">
        <is>
          <t>UNKNOWN</t>
        </is>
      </c>
      <c r="AI17" s="11" t="inlineStr">
        <is>
          <t>UNKNOWN</t>
        </is>
      </c>
      <c r="AJ17" s="11" t="inlineStr">
        <is>
          <t>UNKNOWN</t>
        </is>
      </c>
      <c r="AK17" s="5" t="inlineStr">
        <is>
          <t>location data unavailable (neutral score)</t>
        </is>
      </c>
      <c r="AL17" s="11" t="inlineStr">
        <is>
          <t>UNKNOWN</t>
        </is>
      </c>
      <c r="AM17" s="11" t="inlineStr">
        <is>
          <t>UNKNOWN</t>
        </is>
      </c>
      <c r="AN17" s="11" t="inlineStr">
        <is>
          <t>UNKNOWN</t>
        </is>
      </c>
      <c r="AO17" s="11" t="inlineStr">
        <is>
          <t>UNKNOWN</t>
        </is>
      </c>
      <c r="AP17" s="11" t="inlineStr">
        <is>
          <t>LIKELY_ACTIVE</t>
        </is>
      </c>
      <c r="AQ17" s="5" t="inlineStr">
        <is>
          <t>87 m² area — very spacious for a 2-bedroom; USD 11.4/m² (good value vs other 2BR in sample); furnished</t>
        </is>
      </c>
      <c r="AR17" s="5" t="inlineStr">
        <is>
          <t>rent + maintenance ≈ USD 1,100 (USD 996 rent + S/ 350 maintenance) exceeds USD 1,000</t>
        </is>
      </c>
      <c r="AS17" s="5" t="inlineStr">
        <is>
          <t>INCOMPLETE_ADDRESS; INCOMPLETE_CONTACT; NO_COORDINATES; NO_PUBLICATION_DATE; PRICE_CONVERTED_FROM_PEN; TOTAL_COST_OVER_BUDGET</t>
        </is>
      </c>
      <c r="AT17" s="11" t="inlineStr">
        <is>
          <t>UNKNOWN</t>
        </is>
      </c>
      <c r="AU17" s="11" t="inlineStr">
        <is>
          <t>furnished</t>
        </is>
      </c>
      <c r="AV17" s="11" t="inlineStr">
        <is>
          <t>UNKNOWN</t>
        </is>
      </c>
      <c r="AW17" s="11" t="inlineStr">
        <is>
          <t>UNKNOWN</t>
        </is>
      </c>
      <c r="AX17" s="5" t="inlineStr">
        <is>
          <t>Adondevivir + Urbania</t>
        </is>
      </c>
      <c r="AY17" s="4" t="n">
        <v>2</v>
      </c>
      <c r="AZ17" s="11" t="inlineStr">
        <is>
          <t>G0015</t>
        </is>
      </c>
      <c r="BA17" s="11" t="inlineStr"/>
      <c r="BB17" s="9" t="inlineStr">
        <is>
          <t>View listing</t>
        </is>
      </c>
      <c r="BC17" s="11" t="inlineStr">
        <is>
          <t>—</t>
        </is>
      </c>
      <c r="BD17" s="11" t="inlineStr">
        <is>
          <t>—</t>
        </is>
      </c>
      <c r="BE17" s="11" t="inlineStr">
        <is>
          <t>none / -</t>
        </is>
      </c>
      <c r="BF17" s="11" t="inlineStr">
        <is>
          <t>PROGRAMMATIC_WARN</t>
        </is>
      </c>
      <c r="BG17" s="11" t="inlineStr">
        <is>
          <t>no contact channel</t>
        </is>
      </c>
    </row>
    <row r="18">
      <c r="A18" s="4" t="n">
        <v>14</v>
      </c>
      <c r="B18" s="14" t="n">
        <v>60.1</v>
      </c>
      <c r="C18" s="5" t="inlineStr">
        <is>
          <t>1BR · 68 m² — Miraflores · ID 150518776</t>
        </is>
      </c>
      <c r="D18" s="11" t="inlineStr">
        <is>
          <t>PRIMARY</t>
        </is>
      </c>
      <c r="E18" s="11" t="inlineStr"/>
      <c r="F18" s="6" t="n">
        <v>886.26</v>
      </c>
      <c r="G18" s="11" t="inlineStr">
        <is>
          <t>PEN 3,000</t>
        </is>
      </c>
      <c r="H18" s="11" t="inlineStr">
        <is>
          <t>CALCULATED</t>
        </is>
      </c>
      <c r="I18" s="15" t="n">
        <v>3000</v>
      </c>
      <c r="J18" s="11" t="inlineStr">
        <is>
          <t>UNKNOWN</t>
        </is>
      </c>
      <c r="K18" s="11" t="inlineStr">
        <is>
          <t>UNKNOWN</t>
        </is>
      </c>
      <c r="L18" s="11" t="inlineStr">
        <is>
          <t>UNKNOWN</t>
        </is>
      </c>
      <c r="M18" s="5" t="inlineStr">
        <is>
          <t>BASE_RENT_COMPLIANT</t>
        </is>
      </c>
      <c r="N18" s="5" t="inlineStr">
        <is>
          <t>rent within budget; maintenance not published — total unknown</t>
        </is>
      </c>
      <c r="O18" s="4" t="n">
        <v>1</v>
      </c>
      <c r="P18" s="16" t="n">
        <v>1</v>
      </c>
      <c r="Q18" s="4" t="n">
        <v>68</v>
      </c>
      <c r="R18" s="11" t="inlineStr">
        <is>
          <t>total</t>
        </is>
      </c>
      <c r="S18" s="5" t="inlineStr">
        <is>
          <t>VERY_SPACIOUS</t>
        </is>
      </c>
      <c r="T18" s="14" t="n">
        <v>13.03</v>
      </c>
      <c r="U18" s="11" t="inlineStr">
        <is>
          <t>GOOD_VALUE</t>
        </is>
      </c>
      <c r="V18" s="11" t="inlineStr">
        <is>
          <t>UNKNOWN</t>
        </is>
      </c>
      <c r="W18" s="11" t="inlineStr">
        <is>
          <t>UNKNOWN</t>
        </is>
      </c>
      <c r="X18" s="5" t="inlineStr">
        <is>
          <t>UNKNOWN</t>
        </is>
      </c>
      <c r="Y18" s="11" t="inlineStr">
        <is>
          <t>Yes</t>
        </is>
      </c>
      <c r="Z18" s="11" t="inlineStr">
        <is>
          <t>UNKNOWN</t>
        </is>
      </c>
      <c r="AA18" s="11" t="inlineStr">
        <is>
          <t>UNKNOWN</t>
        </is>
      </c>
      <c r="AB18" s="11" t="inlineStr">
        <is>
          <t>UNKNOWN</t>
        </is>
      </c>
      <c r="AC18" s="11" t="inlineStr">
        <is>
          <t>Yes</t>
        </is>
      </c>
      <c r="AD18" s="11" t="inlineStr">
        <is>
          <t>UNKNOWN</t>
        </is>
      </c>
      <c r="AE18" s="5" t="inlineStr">
        <is>
          <t>NOISE UNCERTAIN · UNKNOWN risk · low confidence</t>
        </is>
      </c>
      <c r="AF18" s="11" t="inlineStr">
        <is>
          <t>—</t>
        </is>
      </c>
      <c r="AG18" s="5" t="inlineStr">
        <is>
          <t>No map location and no noise-related wording in the listing — street exposure unknown; listing mentions 'av. pardo' (major arterial) — check the distance. Quietness estimate: low confidence.</t>
        </is>
      </c>
      <c r="AH18" s="11" t="inlineStr">
        <is>
          <t>UNKNOWN</t>
        </is>
      </c>
      <c r="AI18" s="11" t="inlineStr">
        <is>
          <t>UNKNOWN</t>
        </is>
      </c>
      <c r="AJ18" s="11" t="inlineStr">
        <is>
          <t>UNKNOWN</t>
        </is>
      </c>
      <c r="AK18" s="5" t="inlineStr">
        <is>
          <t>location data unavailable (neutral score)</t>
        </is>
      </c>
      <c r="AL18" s="11" t="inlineStr">
        <is>
          <t>UNKNOWN</t>
        </is>
      </c>
      <c r="AM18" s="11" t="inlineStr">
        <is>
          <t>UNKNOWN</t>
        </is>
      </c>
      <c r="AN18" s="11" t="inlineStr">
        <is>
          <t>UNKNOWN</t>
        </is>
      </c>
      <c r="AO18" s="11" t="inlineStr">
        <is>
          <t>UNKNOWN</t>
        </is>
      </c>
      <c r="AP18" s="11" t="inlineStr">
        <is>
          <t>LIKELY_ACTIVE</t>
        </is>
      </c>
      <c r="AQ18" s="5" t="inlineStr">
        <is>
          <t>68 m² area — very spacious for a 1-bedroom; USD 13.0/m² (good value vs other 1BR in sample); balcony/terrace</t>
        </is>
      </c>
      <c r="AR18" s="5" t="inlineStr">
        <is>
          <t>maintenance fee not published — confirm before visiting</t>
        </is>
      </c>
      <c r="AS18" s="5" t="inlineStr">
        <is>
          <t>CURRENCY_CONVERSION_MISMATCH; INCOMPLETE_ADDRESS; INCOMPLETE_CONTACT; MAJOR_ARTERIAL_MENTIONED; NO_COORDINATES; NO_PUBLICATION_DATE; PRICE_CONVERTED_FROM_PEN; UNKNOWN_MAINTENANCE</t>
        </is>
      </c>
      <c r="AT18" s="11" t="inlineStr">
        <is>
          <t>UNKNOWN</t>
        </is>
      </c>
      <c r="AU18" s="11" t="inlineStr">
        <is>
          <t>—</t>
        </is>
      </c>
      <c r="AV18" s="11" t="inlineStr">
        <is>
          <t>UNKNOWN</t>
        </is>
      </c>
      <c r="AW18" s="11" t="inlineStr">
        <is>
          <t>UNKNOWN</t>
        </is>
      </c>
      <c r="AX18" s="5" t="inlineStr">
        <is>
          <t>Adondevivir + Urbania</t>
        </is>
      </c>
      <c r="AY18" s="4" t="n">
        <v>2</v>
      </c>
      <c r="AZ18" s="11" t="inlineStr">
        <is>
          <t>G0010</t>
        </is>
      </c>
      <c r="BA18" s="11" t="inlineStr"/>
      <c r="BB18" s="9" t="inlineStr">
        <is>
          <t>View listing</t>
        </is>
      </c>
      <c r="BC18" s="11" t="inlineStr">
        <is>
          <t>—</t>
        </is>
      </c>
      <c r="BD18" s="11" t="inlineStr">
        <is>
          <t>—</t>
        </is>
      </c>
      <c r="BE18" s="11" t="inlineStr">
        <is>
          <t>none / -</t>
        </is>
      </c>
      <c r="BF18" s="11" t="inlineStr">
        <is>
          <t>PROGRAMMATIC_WARN</t>
        </is>
      </c>
      <c r="BG18" s="11" t="inlineStr">
        <is>
          <t>no contact channel</t>
        </is>
      </c>
    </row>
    <row r="19">
      <c r="A19" s="4" t="n">
        <v>15</v>
      </c>
      <c r="B19" s="14" t="n">
        <v>54.8</v>
      </c>
      <c r="C19" s="5" t="inlineStr">
        <is>
          <t>1BR · 40 m² — Alexander Von Humboldt</t>
        </is>
      </c>
      <c r="D19" s="11" t="inlineStr">
        <is>
          <t>PRIMARY</t>
        </is>
      </c>
      <c r="E19" s="11" t="inlineStr"/>
      <c r="F19" s="6" t="n">
        <v>827.1799999999999</v>
      </c>
      <c r="G19" s="11" t="inlineStr">
        <is>
          <t>PEN 2,800</t>
        </is>
      </c>
      <c r="H19" s="11" t="inlineStr">
        <is>
          <t>CALCULATED</t>
        </is>
      </c>
      <c r="I19" s="15" t="n">
        <v>2800</v>
      </c>
      <c r="J19" s="5" t="inlineStr">
        <is>
          <t>S/ 260 (≈ USD 77)</t>
        </is>
      </c>
      <c r="K19" s="11" t="inlineStr">
        <is>
          <t>PUBLISHED</t>
        </is>
      </c>
      <c r="L19" s="6" t="n">
        <v>903.99</v>
      </c>
      <c r="M19" s="11" t="inlineStr">
        <is>
          <t>STRICT_ALL_IN</t>
        </is>
      </c>
      <c r="N19" s="11" t="inlineStr">
        <is>
          <t>all-in ≈ USD 904</t>
        </is>
      </c>
      <c r="O19" s="4" t="n">
        <v>1</v>
      </c>
      <c r="P19" s="16" t="n">
        <v>1</v>
      </c>
      <c r="Q19" s="4" t="n">
        <v>40</v>
      </c>
      <c r="R19" s="11" t="inlineStr">
        <is>
          <t>total</t>
        </is>
      </c>
      <c r="S19" s="11" t="inlineStr">
        <is>
          <t>ACCEPTABLE</t>
        </is>
      </c>
      <c r="T19" s="14" t="n">
        <v>20.68</v>
      </c>
      <c r="U19" s="5" t="inlineStr">
        <is>
          <t>EXPENSIVE_RELATIVE_TO_SAMPLE</t>
        </is>
      </c>
      <c r="V19" s="11" t="inlineStr">
        <is>
          <t>UNKNOWN</t>
        </is>
      </c>
      <c r="W19" s="11" t="inlineStr">
        <is>
          <t>Yes</t>
        </is>
      </c>
      <c r="X19" s="5" t="inlineStr">
        <is>
          <t>UNKNOWN</t>
        </is>
      </c>
      <c r="Y19" s="11" t="inlineStr">
        <is>
          <t>Yes</t>
        </is>
      </c>
      <c r="Z19" s="11" t="inlineStr">
        <is>
          <t>UNKNOWN</t>
        </is>
      </c>
      <c r="AA19" s="11" t="inlineStr">
        <is>
          <t>UNKNOWN</t>
        </is>
      </c>
      <c r="AB19" s="11" t="inlineStr">
        <is>
          <t>UNKNOWN</t>
        </is>
      </c>
      <c r="AC19" s="5" t="inlineStr">
        <is>
          <t>UNKNOWN</t>
        </is>
      </c>
      <c r="AD19" s="11" t="inlineStr">
        <is>
          <t>UNKNOWN</t>
        </is>
      </c>
      <c r="AE19" s="5" t="inlineStr">
        <is>
          <t>NOISE UNCERTAIN · UNKNOWN risk · low confidence</t>
        </is>
      </c>
      <c r="AF19" s="11" t="inlineStr">
        <is>
          <t>—</t>
        </is>
      </c>
      <c r="AG19" s="5" t="inlineStr">
        <is>
          <t>No map location and no noise-related wording in the listing — street exposure unknown; listing mentions 'av. 28 de julio' (major arterial) — check the distance. Quietness estimate: low confidence.</t>
        </is>
      </c>
      <c r="AH19" s="11" t="inlineStr">
        <is>
          <t>UNKNOWN</t>
        </is>
      </c>
      <c r="AI19" s="11" t="inlineStr">
        <is>
          <t>UNKNOWN</t>
        </is>
      </c>
      <c r="AJ19" s="11" t="inlineStr">
        <is>
          <t>UNKNOWN</t>
        </is>
      </c>
      <c r="AK19" s="5" t="inlineStr">
        <is>
          <t>location data unavailable (neutral score)</t>
        </is>
      </c>
      <c r="AL19" s="11" t="inlineStr">
        <is>
          <t>UNKNOWN</t>
        </is>
      </c>
      <c r="AM19" s="11" t="inlineStr">
        <is>
          <t>UNKNOWN</t>
        </is>
      </c>
      <c r="AN19" s="11" t="inlineStr">
        <is>
          <t>UNKNOWN</t>
        </is>
      </c>
      <c r="AO19" s="11" t="inlineStr">
        <is>
          <t>UNKNOWN</t>
        </is>
      </c>
      <c r="AP19" s="11" t="inlineStr">
        <is>
          <t>LIKELY_ACTIVE</t>
        </is>
      </c>
      <c r="AQ19" s="11" t="inlineStr">
        <is>
          <t>balcony/terrace</t>
        </is>
      </c>
      <c r="AR19" s="5" t="inlineStr">
        <is>
          <t>no map location — noise estimate is text-only</t>
        </is>
      </c>
      <c r="AS19" s="5" t="inlineStr">
        <is>
          <t>CURRENCY_CONVERSION_MISMATCH; INCOMPLETE_ADDRESS; INCOMPLETE_CONTACT; MAJOR_ARTERIAL_MENTIONED; NO_COORDINATES; NO_PUBLICATION_DATE; PRICE_CONVERTED_FROM_PEN</t>
        </is>
      </c>
      <c r="AT19" s="11" t="inlineStr">
        <is>
          <t>UNKNOWN</t>
        </is>
      </c>
      <c r="AU19" s="11" t="inlineStr">
        <is>
          <t>—</t>
        </is>
      </c>
      <c r="AV19" s="11" t="inlineStr">
        <is>
          <t>UNKNOWN</t>
        </is>
      </c>
      <c r="AW19" s="11" t="inlineStr">
        <is>
          <t>UNKNOWN</t>
        </is>
      </c>
      <c r="AX19" s="5" t="inlineStr">
        <is>
          <t>Adondevivir + Urbania</t>
        </is>
      </c>
      <c r="AY19" s="4" t="n">
        <v>2</v>
      </c>
      <c r="AZ19" s="11" t="inlineStr">
        <is>
          <t>G0007</t>
        </is>
      </c>
      <c r="BA19" s="11" t="inlineStr"/>
      <c r="BB19" s="9" t="inlineStr">
        <is>
          <t>View listing</t>
        </is>
      </c>
      <c r="BC19" s="11" t="inlineStr">
        <is>
          <t>—</t>
        </is>
      </c>
      <c r="BD19" s="11" t="inlineStr">
        <is>
          <t>—</t>
        </is>
      </c>
      <c r="BE19" s="11" t="inlineStr">
        <is>
          <t>none / -</t>
        </is>
      </c>
      <c r="BF19" s="11" t="inlineStr">
        <is>
          <t>PROGRAMMATIC_WARN</t>
        </is>
      </c>
      <c r="BG19" s="11" t="inlineStr">
        <is>
          <t>no contact channel</t>
        </is>
      </c>
    </row>
    <row r="20">
      <c r="A20" s="4" t="n">
        <v>16</v>
      </c>
      <c r="B20" s="14" t="n">
        <v>58.5</v>
      </c>
      <c r="C20" s="5" t="inlineStr">
        <is>
          <t>2BR · 65 m² — Miraflores · ID 151047474</t>
        </is>
      </c>
      <c r="D20" s="11" t="inlineStr">
        <is>
          <t>PRIMARY</t>
        </is>
      </c>
      <c r="E20" s="11" t="inlineStr"/>
      <c r="F20" s="6" t="n">
        <v>994.09</v>
      </c>
      <c r="G20" s="11" t="inlineStr">
        <is>
          <t>PEN 3,365</t>
        </is>
      </c>
      <c r="H20" s="11" t="inlineStr">
        <is>
          <t>CALCULATED</t>
        </is>
      </c>
      <c r="I20" s="15" t="n">
        <v>3365</v>
      </c>
      <c r="J20" s="5" t="inlineStr">
        <is>
          <t>S/ 265 (≈ USD 78)</t>
        </is>
      </c>
      <c r="K20" s="11" t="inlineStr">
        <is>
          <t>PUBLISHED</t>
        </is>
      </c>
      <c r="L20" s="6" t="n">
        <v>1072.38</v>
      </c>
      <c r="M20" s="5" t="inlineStr">
        <is>
          <t>BASE_RENT_COMPLIANT</t>
        </is>
      </c>
      <c r="N20" s="5" t="inlineStr">
        <is>
          <t>rent within budget but total ≈ USD 1,072 (over USD 1,000)</t>
        </is>
      </c>
      <c r="O20" s="4" t="n">
        <v>2</v>
      </c>
      <c r="P20" s="16" t="n">
        <v>2</v>
      </c>
      <c r="Q20" s="4" t="n">
        <v>65</v>
      </c>
      <c r="R20" s="11" t="inlineStr">
        <is>
          <t>total</t>
        </is>
      </c>
      <c r="S20" s="11" t="inlineStr">
        <is>
          <t>ACCEPTABLE</t>
        </is>
      </c>
      <c r="T20" s="14" t="n">
        <v>15.29</v>
      </c>
      <c r="U20" s="5" t="inlineStr">
        <is>
          <t>EXPENSIVE_RELATIVE_TO_SAMPLE</t>
        </is>
      </c>
      <c r="V20" s="11" t="inlineStr">
        <is>
          <t>Yes</t>
        </is>
      </c>
      <c r="W20" s="11" t="inlineStr">
        <is>
          <t>UNKNOWN</t>
        </is>
      </c>
      <c r="X20" s="5" t="inlineStr">
        <is>
          <t>UNKNOWN</t>
        </is>
      </c>
      <c r="Y20" s="11" t="inlineStr">
        <is>
          <t>Yes</t>
        </is>
      </c>
      <c r="Z20" s="11" t="inlineStr">
        <is>
          <t>Yes</t>
        </is>
      </c>
      <c r="AA20" s="11" t="inlineStr">
        <is>
          <t>UNKNOWN</t>
        </is>
      </c>
      <c r="AB20" s="11" t="inlineStr">
        <is>
          <t>Yes</t>
        </is>
      </c>
      <c r="AC20" s="5" t="inlineStr">
        <is>
          <t>UNKNOWN</t>
        </is>
      </c>
      <c r="AD20" s="11" t="inlineStr">
        <is>
          <t>UNKNOWN</t>
        </is>
      </c>
      <c r="AE20" s="5" t="inlineStr">
        <is>
          <t>NOISE UNCERTAIN · MEDIUM risk · low confidence</t>
        </is>
      </c>
      <c r="AF20" s="4" t="n">
        <v>52</v>
      </c>
      <c r="AG20" s="5" t="inlineStr">
        <is>
          <t>No usable coordinates — text evidence only; seller describes the street as quiet (unverified claim). Quietness estimate: low confidence.</t>
        </is>
      </c>
      <c r="AH20" s="11" t="inlineStr">
        <is>
          <t>UNKNOWN</t>
        </is>
      </c>
      <c r="AI20" s="11" t="inlineStr">
        <is>
          <t>UNKNOWN</t>
        </is>
      </c>
      <c r="AJ20" s="11" t="inlineStr">
        <is>
          <t>UNKNOWN</t>
        </is>
      </c>
      <c r="AK20" s="5" t="inlineStr">
        <is>
          <t>location data unavailable (neutral score)</t>
        </is>
      </c>
      <c r="AL20" s="5" t="inlineStr">
        <is>
          <t>12 months min.</t>
        </is>
      </c>
      <c r="AM20" s="5" t="inlineStr">
        <is>
          <t>2 months deposit; 1 in advance</t>
        </is>
      </c>
      <c r="AN20" s="11" t="inlineStr">
        <is>
          <t>UNKNOWN</t>
        </is>
      </c>
      <c r="AO20" s="11" t="inlineStr">
        <is>
          <t>UNKNOWN</t>
        </is>
      </c>
      <c r="AP20" s="11" t="inlineStr">
        <is>
          <t>LIKELY_ACTIVE</t>
        </is>
      </c>
      <c r="AQ20" s="5" t="inlineStr">
        <is>
          <t>furnished; building security/controlled access; balcony/terrace</t>
        </is>
      </c>
      <c r="AR20" s="5" t="inlineStr">
        <is>
          <t>rent + maintenance ≈ USD 1,072 (USD 994 rent + S/ 265 maintenance) exceeds USD 1,000</t>
        </is>
      </c>
      <c r="AS20" s="5" t="inlineStr">
        <is>
          <t>INCOMPLETE_ADDRESS; INCOMPLETE_CONTACT; NO_COORDINATES; NO_PUBLICATION_DATE; POSSIBLE_DUPLICATE; PRICE_CONVERTED_FROM_PEN; TOTAL_COST_OVER_BUDGET</t>
        </is>
      </c>
      <c r="AT20" s="11" t="inlineStr">
        <is>
          <t>UNKNOWN</t>
        </is>
      </c>
      <c r="AU20" s="5" t="inlineStr">
        <is>
          <t>furnished; minimum stay 12 months</t>
        </is>
      </c>
      <c r="AV20" s="11" t="inlineStr">
        <is>
          <t>UNKNOWN</t>
        </is>
      </c>
      <c r="AW20" s="11" t="inlineStr">
        <is>
          <t>UNKNOWN</t>
        </is>
      </c>
      <c r="AX20" s="5" t="inlineStr">
        <is>
          <t>Adondevivir + Urbania</t>
        </is>
      </c>
      <c r="AY20" s="4" t="n">
        <v>2</v>
      </c>
      <c r="AZ20" s="11" t="inlineStr">
        <is>
          <t>G0017</t>
        </is>
      </c>
      <c r="BA20" s="11" t="inlineStr"/>
      <c r="BB20" s="9" t="inlineStr">
        <is>
          <t>View listing</t>
        </is>
      </c>
      <c r="BC20" s="11" t="inlineStr">
        <is>
          <t>—</t>
        </is>
      </c>
      <c r="BD20" s="11" t="inlineStr">
        <is>
          <t>—</t>
        </is>
      </c>
      <c r="BE20" s="11" t="inlineStr">
        <is>
          <t>none / -</t>
        </is>
      </c>
      <c r="BF20" s="11" t="inlineStr">
        <is>
          <t>PROGRAMMATIC_WARN</t>
        </is>
      </c>
      <c r="BG20" s="11" t="inlineStr">
        <is>
          <t>no contact channel</t>
        </is>
      </c>
    </row>
    <row r="21">
      <c r="A21" s="4" t="n">
        <v>17</v>
      </c>
      <c r="B21" s="14" t="n">
        <v>52.2</v>
      </c>
      <c r="C21" s="5" t="inlineStr">
        <is>
          <t>1BR · 39 m² — Miraflores · ID 150752635</t>
        </is>
      </c>
      <c r="D21" s="11" t="inlineStr">
        <is>
          <t>PRIMARY</t>
        </is>
      </c>
      <c r="E21" s="11" t="inlineStr"/>
      <c r="F21" s="6" t="n">
        <v>649.9299999999999</v>
      </c>
      <c r="G21" s="11" t="inlineStr">
        <is>
          <t>PEN 2,200</t>
        </is>
      </c>
      <c r="H21" s="11" t="inlineStr">
        <is>
          <t>CALCULATED</t>
        </is>
      </c>
      <c r="I21" s="15" t="n">
        <v>2200</v>
      </c>
      <c r="J21" s="5" t="inlineStr">
        <is>
          <t>S/ 280 (≈ USD 83)</t>
        </is>
      </c>
      <c r="K21" s="11" t="inlineStr">
        <is>
          <t>PUBLISHED</t>
        </is>
      </c>
      <c r="L21" s="6" t="n">
        <v>732.65</v>
      </c>
      <c r="M21" s="11" t="inlineStr">
        <is>
          <t>STRICT_ALL_IN</t>
        </is>
      </c>
      <c r="N21" s="11" t="inlineStr">
        <is>
          <t>all-in ≈ USD 733</t>
        </is>
      </c>
      <c r="O21" s="4" t="n">
        <v>1</v>
      </c>
      <c r="P21" s="16" t="n">
        <v>1</v>
      </c>
      <c r="Q21" s="4" t="n">
        <v>39</v>
      </c>
      <c r="R21" s="11" t="inlineStr">
        <is>
          <t>total</t>
        </is>
      </c>
      <c r="S21" s="11" t="inlineStr">
        <is>
          <t>SMALL</t>
        </is>
      </c>
      <c r="T21" s="14" t="n">
        <v>16.66</v>
      </c>
      <c r="U21" s="11" t="inlineStr">
        <is>
          <t>FAIR_VALUE</t>
        </is>
      </c>
      <c r="V21" s="11" t="inlineStr">
        <is>
          <t>UNKNOWN</t>
        </is>
      </c>
      <c r="W21" s="11" t="inlineStr">
        <is>
          <t>Yes</t>
        </is>
      </c>
      <c r="X21" s="11" t="n">
        <v>5</v>
      </c>
      <c r="Y21" s="11" t="inlineStr">
        <is>
          <t>Yes</t>
        </is>
      </c>
      <c r="Z21" s="11" t="inlineStr">
        <is>
          <t>UNKNOWN</t>
        </is>
      </c>
      <c r="AA21" s="11" t="inlineStr">
        <is>
          <t>UNKNOWN</t>
        </is>
      </c>
      <c r="AB21" s="11" t="inlineStr">
        <is>
          <t>UNKNOWN</t>
        </is>
      </c>
      <c r="AC21" s="5" t="inlineStr">
        <is>
          <t>UNKNOWN</t>
        </is>
      </c>
      <c r="AD21" s="11" t="inlineStr">
        <is>
          <t>UNKNOWN</t>
        </is>
      </c>
      <c r="AE21" s="5" t="inlineStr">
        <is>
          <t>NOISE UNCERTAIN · UNKNOWN risk · low confidence</t>
        </is>
      </c>
      <c r="AF21" s="11" t="inlineStr">
        <is>
          <t>—</t>
        </is>
      </c>
      <c r="AG21" s="5" t="inlineStr">
        <is>
          <t>No map location and no noise-related wording in the listing — street exposure unknown; listing mentions 'av. jose pardo' (major arterial) — check the distance. Quietness estimate: low confidence.</t>
        </is>
      </c>
      <c r="AH21" s="11" t="inlineStr">
        <is>
          <t>UNKNOWN</t>
        </is>
      </c>
      <c r="AI21" s="11" t="inlineStr">
        <is>
          <t>UNKNOWN</t>
        </is>
      </c>
      <c r="AJ21" s="11" t="inlineStr">
        <is>
          <t>UNKNOWN</t>
        </is>
      </c>
      <c r="AK21" s="5" t="inlineStr">
        <is>
          <t>location data unavailable (neutral score)</t>
        </is>
      </c>
      <c r="AL21" s="5" t="inlineStr">
        <is>
          <t>12 months min.</t>
        </is>
      </c>
      <c r="AM21" s="11" t="inlineStr">
        <is>
          <t>1 in advance</t>
        </is>
      </c>
      <c r="AN21" s="11" t="inlineStr">
        <is>
          <t>UNKNOWN</t>
        </is>
      </c>
      <c r="AO21" s="11" t="inlineStr">
        <is>
          <t>UNKNOWN</t>
        </is>
      </c>
      <c r="AP21" s="11" t="inlineStr">
        <is>
          <t>LIKELY_ACTIVE</t>
        </is>
      </c>
      <c r="AQ21" s="5" t="inlineStr">
        <is>
          <t>all-in ≈ USD 733/month; balcony/terrace</t>
        </is>
      </c>
      <c r="AR21" s="5" t="inlineStr">
        <is>
          <t>no map location — noise estimate is text-only</t>
        </is>
      </c>
      <c r="AS21" s="5" t="inlineStr">
        <is>
          <t>INCOMPLETE_ADDRESS; INCOMPLETE_CONTACT; MAJOR_ARTERIAL_MENTIONED; NO_COORDINATES; NO_PUBLICATION_DATE; POSSIBLE_DUPLICATE; PRICE_CONVERTED_FROM_PEN; STUDIO_WORDING</t>
        </is>
      </c>
      <c r="AT21" s="11" t="inlineStr">
        <is>
          <t>UNKNOWN</t>
        </is>
      </c>
      <c r="AU21" s="5" t="inlineStr">
        <is>
          <t>proof of income requested; minimum stay 12 months</t>
        </is>
      </c>
      <c r="AV21" s="11" t="inlineStr">
        <is>
          <t>UNKNOWN</t>
        </is>
      </c>
      <c r="AW21" s="11" t="inlineStr">
        <is>
          <t>UNKNOWN</t>
        </is>
      </c>
      <c r="AX21" s="11" t="inlineStr">
        <is>
          <t>Urbania</t>
        </is>
      </c>
      <c r="AY21" s="4" t="n">
        <v>1</v>
      </c>
      <c r="AZ21" s="11" t="inlineStr">
        <is>
          <t>G0001</t>
        </is>
      </c>
      <c r="BA21" s="11" t="inlineStr"/>
      <c r="BB21" s="9" t="inlineStr">
        <is>
          <t>View listing</t>
        </is>
      </c>
      <c r="BC21" s="11" t="inlineStr">
        <is>
          <t>—</t>
        </is>
      </c>
      <c r="BD21" s="11" t="inlineStr">
        <is>
          <t>—</t>
        </is>
      </c>
      <c r="BE21" s="11" t="inlineStr">
        <is>
          <t>none / -</t>
        </is>
      </c>
      <c r="BF21" s="11" t="inlineStr">
        <is>
          <t>PROGRAMMATIC_WARN</t>
        </is>
      </c>
      <c r="BG21" s="11" t="inlineStr">
        <is>
          <t>no contact channel</t>
        </is>
      </c>
    </row>
    <row r="22">
      <c r="A22" s="4" t="n">
        <v>18</v>
      </c>
      <c r="B22" s="14" t="n">
        <v>56.6</v>
      </c>
      <c r="C22" s="5" t="inlineStr">
        <is>
          <t>2BR · 81 m² — Miraflores · ID 151167358</t>
        </is>
      </c>
      <c r="D22" s="11" t="inlineStr">
        <is>
          <t>PRIMARY</t>
        </is>
      </c>
      <c r="E22" s="11" t="inlineStr"/>
      <c r="F22" s="6" t="n">
        <v>918.76</v>
      </c>
      <c r="G22" s="11" t="inlineStr">
        <is>
          <t>PEN 3,110</t>
        </is>
      </c>
      <c r="H22" s="11" t="inlineStr">
        <is>
          <t>CALCULATED</t>
        </is>
      </c>
      <c r="I22" s="15" t="n">
        <v>3110</v>
      </c>
      <c r="J22" s="5" t="inlineStr">
        <is>
          <t>S/ 280 (≈ USD 83)</t>
        </is>
      </c>
      <c r="K22" s="11" t="inlineStr">
        <is>
          <t>PUBLISHED</t>
        </is>
      </c>
      <c r="L22" s="6" t="n">
        <v>1001.48</v>
      </c>
      <c r="M22" s="5" t="inlineStr">
        <is>
          <t>BASE_RENT_COMPLIANT</t>
        </is>
      </c>
      <c r="N22" s="5" t="inlineStr">
        <is>
          <t>rent within budget but total ≈ USD 1,001 (over USD 1,000)</t>
        </is>
      </c>
      <c r="O22" s="4" t="n">
        <v>2</v>
      </c>
      <c r="P22" s="16" t="n">
        <v>2</v>
      </c>
      <c r="Q22" s="4" t="n">
        <v>81</v>
      </c>
      <c r="R22" s="11" t="inlineStr">
        <is>
          <t>total</t>
        </is>
      </c>
      <c r="S22" s="11" t="inlineStr">
        <is>
          <t>GOOD</t>
        </is>
      </c>
      <c r="T22" s="14" t="n">
        <v>11.34</v>
      </c>
      <c r="U22" s="11" t="inlineStr">
        <is>
          <t>GOOD_VALUE</t>
        </is>
      </c>
      <c r="V22" s="11" t="inlineStr">
        <is>
          <t>No</t>
        </is>
      </c>
      <c r="W22" s="11" t="inlineStr">
        <is>
          <t>Yes</t>
        </is>
      </c>
      <c r="X22" s="11" t="n">
        <v>4</v>
      </c>
      <c r="Y22" s="11" t="inlineStr">
        <is>
          <t>UNKNOWN</t>
        </is>
      </c>
      <c r="Z22" s="11" t="inlineStr">
        <is>
          <t>UNKNOWN</t>
        </is>
      </c>
      <c r="AA22" s="11" t="inlineStr">
        <is>
          <t>UNKNOWN</t>
        </is>
      </c>
      <c r="AB22" s="11" t="inlineStr">
        <is>
          <t>Yes</t>
        </is>
      </c>
      <c r="AC22" s="5" t="inlineStr">
        <is>
          <t>UNKNOWN</t>
        </is>
      </c>
      <c r="AD22" s="11" t="inlineStr">
        <is>
          <t>Yes</t>
        </is>
      </c>
      <c r="AE22" s="5" t="inlineStr">
        <is>
          <t>POSSIBLY QUIET · MEDIUM risk · low confidence</t>
        </is>
      </c>
      <c r="AF22" s="4" t="n">
        <v>56</v>
      </c>
      <c r="AG22" s="5" t="inlineStr">
        <is>
          <t>No usable coordinates — text evidence only; listing says interior-facing / contrafrente. Quietness estimate: low confidence.</t>
        </is>
      </c>
      <c r="AH22" s="11" t="inlineStr">
        <is>
          <t>UNKNOWN</t>
        </is>
      </c>
      <c r="AI22" s="11" t="inlineStr">
        <is>
          <t>UNKNOWN</t>
        </is>
      </c>
      <c r="AJ22" s="11" t="inlineStr">
        <is>
          <t>UNKNOWN</t>
        </is>
      </c>
      <c r="AK22" s="5" t="inlineStr">
        <is>
          <t>location data unavailable (neutral score)</t>
        </is>
      </c>
      <c r="AL22" s="11" t="inlineStr">
        <is>
          <t>UNKNOWN</t>
        </is>
      </c>
      <c r="AM22" s="11" t="inlineStr">
        <is>
          <t>UNKNOWN</t>
        </is>
      </c>
      <c r="AN22" s="11" t="inlineStr">
        <is>
          <t>water</t>
        </is>
      </c>
      <c r="AO22" s="11" t="inlineStr">
        <is>
          <t>UNKNOWN</t>
        </is>
      </c>
      <c r="AP22" s="11" t="inlineStr">
        <is>
          <t>LIKELY_ACTIVE</t>
        </is>
      </c>
      <c r="AQ22" s="5" t="inlineStr">
        <is>
          <t>81 m² area — good for a 2-bedroom; interior-facing; USD 11.3/m² (good value vs other 2BR in sample)</t>
        </is>
      </c>
      <c r="AR22" s="5" t="inlineStr">
        <is>
          <t>rent + maintenance ≈ USD 1,001 (USD 919 rent + S/ 280 maintenance) exceeds USD 1,000</t>
        </is>
      </c>
      <c r="AS22" s="5" t="inlineStr">
        <is>
          <t>INCOMPLETE_ADDRESS; INCOMPLETE_CONTACT; NO_COORDINATES; NO_FURNITURE; NO_PUBLICATION_DATE; PRICE_CONVERTED_FROM_PEN; TOTAL_COST_OVER_BUDGET</t>
        </is>
      </c>
      <c r="AT22" s="11" t="inlineStr">
        <is>
          <t>UNKNOWN</t>
        </is>
      </c>
      <c r="AU22" s="11" t="inlineStr">
        <is>
          <t>utilities included</t>
        </is>
      </c>
      <c r="AV22" s="11" t="inlineStr">
        <is>
          <t>UNKNOWN</t>
        </is>
      </c>
      <c r="AW22" s="11" t="inlineStr">
        <is>
          <t>UNKNOWN</t>
        </is>
      </c>
      <c r="AX22" s="5" t="inlineStr">
        <is>
          <t>Adondevivir + Urbania</t>
        </is>
      </c>
      <c r="AY22" s="4" t="n">
        <v>2</v>
      </c>
      <c r="AZ22" s="11" t="inlineStr">
        <is>
          <t>G0014</t>
        </is>
      </c>
      <c r="BA22" s="11" t="inlineStr"/>
      <c r="BB22" s="9" t="inlineStr">
        <is>
          <t>View listing</t>
        </is>
      </c>
      <c r="BC22" s="11" t="inlineStr">
        <is>
          <t>—</t>
        </is>
      </c>
      <c r="BD22" s="11" t="inlineStr">
        <is>
          <t>—</t>
        </is>
      </c>
      <c r="BE22" s="11" t="inlineStr">
        <is>
          <t>none / -</t>
        </is>
      </c>
      <c r="BF22" s="11" t="inlineStr">
        <is>
          <t>PROGRAMMATIC_WARN</t>
        </is>
      </c>
      <c r="BG22" s="11" t="inlineStr">
        <is>
          <t>no contact channel</t>
        </is>
      </c>
    </row>
    <row r="23">
      <c r="A23" s="4" t="n">
        <v>19</v>
      </c>
      <c r="B23" s="14" t="n">
        <v>55</v>
      </c>
      <c r="C23" s="5" t="inlineStr">
        <is>
          <t>2BR · 79 m² — Miraflores · ID 149641202</t>
        </is>
      </c>
      <c r="D23" s="11" t="inlineStr">
        <is>
          <t>PRIMARY</t>
        </is>
      </c>
      <c r="E23" s="11" t="inlineStr"/>
      <c r="F23" s="6" t="n">
        <v>992.61</v>
      </c>
      <c r="G23" s="11" t="inlineStr">
        <is>
          <t>PEN 3,360</t>
        </is>
      </c>
      <c r="H23" s="11" t="inlineStr">
        <is>
          <t>CALCULATED</t>
        </is>
      </c>
      <c r="I23" s="15" t="n">
        <v>3360</v>
      </c>
      <c r="J23" s="11" t="inlineStr">
        <is>
          <t>UNKNOWN</t>
        </is>
      </c>
      <c r="K23" s="11" t="inlineStr">
        <is>
          <t>UNKNOWN</t>
        </is>
      </c>
      <c r="L23" s="11" t="inlineStr">
        <is>
          <t>UNKNOWN</t>
        </is>
      </c>
      <c r="M23" s="5" t="inlineStr">
        <is>
          <t>BASE_RENT_COMPLIANT</t>
        </is>
      </c>
      <c r="N23" s="5" t="inlineStr">
        <is>
          <t>rent within budget; maintenance not published — total unknown</t>
        </is>
      </c>
      <c r="O23" s="4" t="n">
        <v>2</v>
      </c>
      <c r="P23" s="16" t="n">
        <v>2</v>
      </c>
      <c r="Q23" s="4" t="n">
        <v>79</v>
      </c>
      <c r="R23" s="11" t="inlineStr">
        <is>
          <t>total</t>
        </is>
      </c>
      <c r="S23" s="11" t="inlineStr">
        <is>
          <t>GOOD</t>
        </is>
      </c>
      <c r="T23" s="14" t="n">
        <v>12.56</v>
      </c>
      <c r="U23" s="11" t="inlineStr">
        <is>
          <t>FAIR_VALUE</t>
        </is>
      </c>
      <c r="V23" s="11" t="inlineStr">
        <is>
          <t>UNKNOWN</t>
        </is>
      </c>
      <c r="W23" s="11" t="inlineStr">
        <is>
          <t>Yes</t>
        </is>
      </c>
      <c r="X23" s="5" t="inlineStr">
        <is>
          <t>UNKNOWN</t>
        </is>
      </c>
      <c r="Y23" s="11" t="inlineStr">
        <is>
          <t>UNKNOWN</t>
        </is>
      </c>
      <c r="Z23" s="11" t="inlineStr">
        <is>
          <t>UNKNOWN</t>
        </is>
      </c>
      <c r="AA23" s="11" t="inlineStr">
        <is>
          <t>UNKNOWN</t>
        </is>
      </c>
      <c r="AB23" s="11" t="inlineStr">
        <is>
          <t>UNKNOWN</t>
        </is>
      </c>
      <c r="AC23" s="5" t="inlineStr">
        <is>
          <t>UNKNOWN</t>
        </is>
      </c>
      <c r="AD23" s="11" t="inlineStr">
        <is>
          <t>UNKNOWN</t>
        </is>
      </c>
      <c r="AE23" s="5" t="inlineStr">
        <is>
          <t>LIKELY NOISY · HIGH risk · low confidence</t>
        </is>
      </c>
      <c r="AF23" s="4" t="n">
        <v>30</v>
      </c>
      <c r="AG23" s="5" t="inlineStr">
        <is>
          <t>0 m from Avenida Paseo de la República (major road); no nightclub mapped within 500 m; listing address is on Avenida Paseo de la República — a major arterial (Vía Expresa); portal location is approximate. Quietness estimate: low confidence.</t>
        </is>
      </c>
      <c r="AH23" s="4" t="n">
        <v>0</v>
      </c>
      <c r="AI23" s="4" t="n">
        <v>1117</v>
      </c>
      <c r="AJ23" s="4" t="n">
        <v>0</v>
      </c>
      <c r="AK23" s="5" t="inlineStr">
        <is>
          <t>supermarket 180 m, pharmacy 215 m, park 293 m, café 59 m, bus/Metropolitano stop 177 m, Malecón 463 m</t>
        </is>
      </c>
      <c r="AL23" s="11" t="inlineStr">
        <is>
          <t>UNKNOWN</t>
        </is>
      </c>
      <c r="AM23" s="11" t="inlineStr">
        <is>
          <t>UNKNOWN</t>
        </is>
      </c>
      <c r="AN23" s="11" t="inlineStr">
        <is>
          <t>UNKNOWN</t>
        </is>
      </c>
      <c r="AO23" s="11" t="inlineStr">
        <is>
          <t>UNKNOWN</t>
        </is>
      </c>
      <c r="AP23" s="11" t="inlineStr">
        <is>
          <t>LIKELY_ACTIVE</t>
        </is>
      </c>
      <c r="AQ23" s="11" t="inlineStr">
        <is>
          <t>79 m² area — good for a 2-bedroom</t>
        </is>
      </c>
      <c r="AR23" s="5" t="inlineStr">
        <is>
          <t>on a major arterial (see noise evidence) — check traffic noise in the bedroom</t>
        </is>
      </c>
      <c r="AS23" s="5" t="inlineStr">
        <is>
          <t>APPROXIMATE_LOCATION; DIRECT_MAJOR_AVENUE; HIGH_NOISE_RISK; INCOMPLETE_ADDRESS; INCOMPLETE_CONTACT; NO_PUBLICATION_DATE; ON_MAJOR_ARTERIAL; PRICE_CONVERTED_FROM_PEN; UNKNOWN_MAINTENANCE</t>
        </is>
      </c>
      <c r="AT23" s="11" t="inlineStr">
        <is>
          <t>UNKNOWN</t>
        </is>
      </c>
      <c r="AU23" s="11" t="inlineStr">
        <is>
          <t>—</t>
        </is>
      </c>
      <c r="AV23" s="11" t="inlineStr">
        <is>
          <t>UNKNOWN</t>
        </is>
      </c>
      <c r="AW23" s="11" t="inlineStr">
        <is>
          <t>UNKNOWN</t>
        </is>
      </c>
      <c r="AX23" s="11" t="inlineStr">
        <is>
          <t>Urbania</t>
        </is>
      </c>
      <c r="AY23" s="4" t="n">
        <v>1</v>
      </c>
      <c r="AZ23" s="11" t="inlineStr">
        <is>
          <t>G0020</t>
        </is>
      </c>
      <c r="BA23" s="11" t="inlineStr"/>
      <c r="BB23" s="9" t="inlineStr">
        <is>
          <t>View listing</t>
        </is>
      </c>
      <c r="BC23" s="11" t="inlineStr">
        <is>
          <t>—</t>
        </is>
      </c>
      <c r="BD23" s="9" t="inlineStr">
        <is>
          <t>Open map</t>
        </is>
      </c>
      <c r="BE23" s="5" t="inlineStr">
        <is>
          <t>GEOCODED_TEXT / STREET_LEVEL</t>
        </is>
      </c>
      <c r="BF23" s="11" t="inlineStr">
        <is>
          <t>PROGRAMMATIC_WARN</t>
        </is>
      </c>
      <c r="BG23" s="11" t="inlineStr">
        <is>
          <t>no contact channel</t>
        </is>
      </c>
    </row>
    <row r="24">
      <c r="A24" s="4" t="n">
        <v>20</v>
      </c>
      <c r="B24" s="14" t="n">
        <v>54.8</v>
      </c>
      <c r="C24" s="5" t="inlineStr">
        <is>
          <t>2BR · 95 m² — Miraflores · ID 150634895</t>
        </is>
      </c>
      <c r="D24" s="11" t="inlineStr">
        <is>
          <t>PRIMARY</t>
        </is>
      </c>
      <c r="E24" s="11" t="inlineStr"/>
      <c r="F24" s="6" t="n">
        <v>974.89</v>
      </c>
      <c r="G24" s="11" t="inlineStr">
        <is>
          <t>PEN 3,300</t>
        </is>
      </c>
      <c r="H24" s="11" t="inlineStr">
        <is>
          <t>CALCULATED</t>
        </is>
      </c>
      <c r="I24" s="15" t="n">
        <v>3300</v>
      </c>
      <c r="J24" s="5" t="inlineStr">
        <is>
          <t>S/ 450 (≈ USD 133)</t>
        </is>
      </c>
      <c r="K24" s="11" t="inlineStr">
        <is>
          <t>PUBLISHED</t>
        </is>
      </c>
      <c r="L24" s="6" t="n">
        <v>1107.83</v>
      </c>
      <c r="M24" s="5" t="inlineStr">
        <is>
          <t>BASE_RENT_COMPLIANT</t>
        </is>
      </c>
      <c r="N24" s="5" t="inlineStr">
        <is>
          <t>rent within budget but total ≈ USD 1,108 (over USD 1,000)</t>
        </is>
      </c>
      <c r="O24" s="4" t="n">
        <v>2</v>
      </c>
      <c r="P24" s="16" t="n">
        <v>3</v>
      </c>
      <c r="Q24" s="4" t="n">
        <v>95</v>
      </c>
      <c r="R24" s="11" t="inlineStr">
        <is>
          <t>total</t>
        </is>
      </c>
      <c r="S24" s="5" t="inlineStr">
        <is>
          <t>VERY_SPACIOUS</t>
        </is>
      </c>
      <c r="T24" s="14" t="n">
        <v>10.26</v>
      </c>
      <c r="U24" s="11" t="inlineStr">
        <is>
          <t>EXCELLENT_VALUE</t>
        </is>
      </c>
      <c r="V24" s="11" t="inlineStr">
        <is>
          <t>UNKNOWN</t>
        </is>
      </c>
      <c r="W24" s="11" t="inlineStr">
        <is>
          <t>Yes</t>
        </is>
      </c>
      <c r="X24" s="11" t="n">
        <v>3</v>
      </c>
      <c r="Y24" s="11" t="inlineStr">
        <is>
          <t>UNKNOWN</t>
        </is>
      </c>
      <c r="Z24" s="11" t="inlineStr">
        <is>
          <t>UNKNOWN</t>
        </is>
      </c>
      <c r="AA24" s="11" t="inlineStr">
        <is>
          <t>UNKNOWN</t>
        </is>
      </c>
      <c r="AB24" s="11" t="inlineStr">
        <is>
          <t>Yes</t>
        </is>
      </c>
      <c r="AC24" s="5" t="inlineStr">
        <is>
          <t>UNKNOWN</t>
        </is>
      </c>
      <c r="AD24" s="11" t="inlineStr">
        <is>
          <t>Yes</t>
        </is>
      </c>
      <c r="AE24" s="5" t="inlineStr">
        <is>
          <t>POSSIBLY QUIET · MEDIUM risk · low confidence</t>
        </is>
      </c>
      <c r="AF24" s="4" t="n">
        <v>56</v>
      </c>
      <c r="AG24" s="5" t="inlineStr">
        <is>
          <t>No usable coordinates — text evidence only; listing says interior-facing / contrafrente. Quietness estimate: low confidence.</t>
        </is>
      </c>
      <c r="AH24" s="11" t="inlineStr">
        <is>
          <t>UNKNOWN</t>
        </is>
      </c>
      <c r="AI24" s="11" t="inlineStr">
        <is>
          <t>UNKNOWN</t>
        </is>
      </c>
      <c r="AJ24" s="11" t="inlineStr">
        <is>
          <t>UNKNOWN</t>
        </is>
      </c>
      <c r="AK24" s="5" t="inlineStr">
        <is>
          <t>location data unavailable (neutral score)</t>
        </is>
      </c>
      <c r="AL24" s="5" t="inlineStr">
        <is>
          <t>12 months min.</t>
        </is>
      </c>
      <c r="AM24" s="5" t="inlineStr">
        <is>
          <t>2 months deposit; 1 in advance</t>
        </is>
      </c>
      <c r="AN24" s="11" t="inlineStr">
        <is>
          <t>water</t>
        </is>
      </c>
      <c r="AO24" s="11" t="inlineStr">
        <is>
          <t>UNKNOWN</t>
        </is>
      </c>
      <c r="AP24" s="11" t="inlineStr">
        <is>
          <t>LIKELY_ACTIVE</t>
        </is>
      </c>
      <c r="AQ24" s="5" t="inlineStr">
        <is>
          <t>95 m² area — very spacious for a 2-bedroom; interior-facing; USD 10.3/m² (excellent value vs other 2BR in sample)</t>
        </is>
      </c>
      <c r="AR24" s="5" t="inlineStr">
        <is>
          <t>rent + maintenance ≈ USD 1,108 (USD 975 rent + S/ 450 maintenance) exceeds USD 1,000</t>
        </is>
      </c>
      <c r="AS24" s="5" t="inlineStr">
        <is>
          <t>INCOMPLETE_ADDRESS; INCOMPLETE_CONTACT; NO_COORDINATES; NO_PUBLICATION_DATE; PRICE_CONVERTED_FROM_PEN; TOTAL_COST_OVER_BUDGET</t>
        </is>
      </c>
      <c r="AT24" s="11" t="inlineStr">
        <is>
          <t>UNKNOWN</t>
        </is>
      </c>
      <c r="AU24" s="5" t="inlineStr">
        <is>
          <t>proof of income requested; utilities included; minimum stay 12 months</t>
        </is>
      </c>
      <c r="AV24" s="11" t="inlineStr">
        <is>
          <t>UNKNOWN</t>
        </is>
      </c>
      <c r="AW24" s="11" t="inlineStr">
        <is>
          <t>UNKNOWN</t>
        </is>
      </c>
      <c r="AX24" s="11" t="inlineStr">
        <is>
          <t>Urbania</t>
        </is>
      </c>
      <c r="AY24" s="4" t="n">
        <v>1</v>
      </c>
      <c r="AZ24" s="11" t="inlineStr">
        <is>
          <t>G0012</t>
        </is>
      </c>
      <c r="BA24" s="11" t="inlineStr"/>
      <c r="BB24" s="9" t="inlineStr">
        <is>
          <t>View listing</t>
        </is>
      </c>
      <c r="BC24" s="11" t="inlineStr">
        <is>
          <t>—</t>
        </is>
      </c>
      <c r="BD24" s="11" t="inlineStr">
        <is>
          <t>—</t>
        </is>
      </c>
      <c r="BE24" s="11" t="inlineStr">
        <is>
          <t>none / -</t>
        </is>
      </c>
      <c r="BF24" s="11" t="inlineStr">
        <is>
          <t>PROGRAMMATIC_WARN</t>
        </is>
      </c>
      <c r="BG24" s="11" t="inlineStr">
        <is>
          <t>no contact channel</t>
        </is>
      </c>
    </row>
    <row r="25">
      <c r="A25" s="4" t="n">
        <v>21</v>
      </c>
      <c r="B25" s="14" t="n">
        <v>53.4</v>
      </c>
      <c r="C25" s="5" t="inlineStr">
        <is>
          <t>2BR · 60 m² — Miraflores · ID 150773832</t>
        </is>
      </c>
      <c r="D25" s="11" t="inlineStr">
        <is>
          <t>PRIMARY</t>
        </is>
      </c>
      <c r="E25" s="11" t="inlineStr"/>
      <c r="F25" s="6" t="n">
        <v>896.01</v>
      </c>
      <c r="G25" s="11" t="inlineStr">
        <is>
          <t>PEN 3,033</t>
        </is>
      </c>
      <c r="H25" s="11" t="inlineStr">
        <is>
          <t>CALCULATED</t>
        </is>
      </c>
      <c r="I25" s="15" t="n">
        <v>3033</v>
      </c>
      <c r="J25" s="5" t="inlineStr">
        <is>
          <t>S/ 370 (≈ USD 109)</t>
        </is>
      </c>
      <c r="K25" s="11" t="inlineStr">
        <is>
          <t>PUBLISHED</t>
        </is>
      </c>
      <c r="L25" s="6" t="n">
        <v>1005.32</v>
      </c>
      <c r="M25" s="5" t="inlineStr">
        <is>
          <t>BASE_RENT_COMPLIANT</t>
        </is>
      </c>
      <c r="N25" s="5" t="inlineStr">
        <is>
          <t>rent within budget but total ≈ USD 1,005 (over USD 1,000)</t>
        </is>
      </c>
      <c r="O25" s="4" t="n">
        <v>2</v>
      </c>
      <c r="P25" s="16" t="n">
        <v>2</v>
      </c>
      <c r="Q25" s="4" t="n">
        <v>60</v>
      </c>
      <c r="R25" s="11" t="inlineStr">
        <is>
          <t>total</t>
        </is>
      </c>
      <c r="S25" s="11" t="inlineStr">
        <is>
          <t>ACCEPTABLE</t>
        </is>
      </c>
      <c r="T25" s="14" t="n">
        <v>14.93</v>
      </c>
      <c r="U25" s="5" t="inlineStr">
        <is>
          <t>EXPENSIVE_RELATIVE_TO_SAMPLE</t>
        </is>
      </c>
      <c r="V25" s="11" t="inlineStr">
        <is>
          <t>UNKNOWN</t>
        </is>
      </c>
      <c r="W25" s="11" t="inlineStr">
        <is>
          <t>Yes</t>
        </is>
      </c>
      <c r="X25" s="5" t="inlineStr">
        <is>
          <t>UNKNOWN</t>
        </is>
      </c>
      <c r="Y25" s="11" t="inlineStr">
        <is>
          <t>Yes</t>
        </is>
      </c>
      <c r="Z25" s="11" t="inlineStr">
        <is>
          <t>Yes</t>
        </is>
      </c>
      <c r="AA25" s="11" t="inlineStr">
        <is>
          <t>UNKNOWN</t>
        </is>
      </c>
      <c r="AB25" s="11" t="inlineStr">
        <is>
          <t>Yes</t>
        </is>
      </c>
      <c r="AC25" s="5" t="inlineStr">
        <is>
          <t>UNKNOWN</t>
        </is>
      </c>
      <c r="AD25" s="11" t="inlineStr">
        <is>
          <t>UNKNOWN</t>
        </is>
      </c>
      <c r="AE25" s="5" t="inlineStr">
        <is>
          <t>NOISE UNCERTAIN · MEDIUM risk · low confidence</t>
        </is>
      </c>
      <c r="AF25" s="4" t="n">
        <v>52</v>
      </c>
      <c r="AG25" s="5" t="inlineStr">
        <is>
          <t>No usable coordinates — text evidence only; seller describes the street as quiet (unverified claim). Quietness estimate: low confidence.</t>
        </is>
      </c>
      <c r="AH25" s="11" t="inlineStr">
        <is>
          <t>UNKNOWN</t>
        </is>
      </c>
      <c r="AI25" s="11" t="inlineStr">
        <is>
          <t>UNKNOWN</t>
        </is>
      </c>
      <c r="AJ25" s="11" t="inlineStr">
        <is>
          <t>UNKNOWN</t>
        </is>
      </c>
      <c r="AK25" s="5" t="inlineStr">
        <is>
          <t>location data unavailable (neutral score)</t>
        </is>
      </c>
      <c r="AL25" s="5" t="inlineStr">
        <is>
          <t>12 months min.</t>
        </is>
      </c>
      <c r="AM25" s="5" t="inlineStr">
        <is>
          <t>2 months deposit; 1 in advance</t>
        </is>
      </c>
      <c r="AN25" s="11" t="inlineStr">
        <is>
          <t>UNKNOWN</t>
        </is>
      </c>
      <c r="AO25" s="11" t="inlineStr">
        <is>
          <t>UNKNOWN</t>
        </is>
      </c>
      <c r="AP25" s="11" t="inlineStr">
        <is>
          <t>LIKELY_ACTIVE</t>
        </is>
      </c>
      <c r="AQ25" s="5" t="inlineStr">
        <is>
          <t>building security/controlled access; balcony/terrace</t>
        </is>
      </c>
      <c r="AR25" s="5" t="inlineStr">
        <is>
          <t>rent + maintenance ≈ USD 1,005 (USD 896 rent + S/ 370 maintenance) exceeds USD 1,000</t>
        </is>
      </c>
      <c r="AS25" s="5" t="inlineStr">
        <is>
          <t>INCOMPLETE_ADDRESS; INCOMPLETE_CONTACT; NO_COORDINATES; NO_PUBLICATION_DATE; POSSIBLE_DUPLICATE; PRICE_CONVERTED_FROM_PEN; TOTAL_COST_OVER_BUDGET</t>
        </is>
      </c>
      <c r="AT25" s="11" t="inlineStr">
        <is>
          <t>UNKNOWN</t>
        </is>
      </c>
      <c r="AU25" s="11" t="inlineStr">
        <is>
          <t>minimum stay 12 months</t>
        </is>
      </c>
      <c r="AV25" s="11" t="inlineStr">
        <is>
          <t>UNKNOWN</t>
        </is>
      </c>
      <c r="AW25" s="11" t="inlineStr">
        <is>
          <t>UNKNOWN</t>
        </is>
      </c>
      <c r="AX25" s="11" t="inlineStr">
        <is>
          <t>Adondevivir</t>
        </is>
      </c>
      <c r="AY25" s="4" t="n">
        <v>1</v>
      </c>
      <c r="AZ25" s="11" t="inlineStr">
        <is>
          <t>G0026</t>
        </is>
      </c>
      <c r="BA25" s="11" t="inlineStr"/>
      <c r="BB25" s="9" t="inlineStr">
        <is>
          <t>View listing</t>
        </is>
      </c>
      <c r="BC25" s="11" t="inlineStr">
        <is>
          <t>—</t>
        </is>
      </c>
      <c r="BD25" s="11" t="inlineStr">
        <is>
          <t>—</t>
        </is>
      </c>
      <c r="BE25" s="11" t="inlineStr">
        <is>
          <t>none / -</t>
        </is>
      </c>
      <c r="BF25" s="11" t="inlineStr">
        <is>
          <t>PROGRAMMATIC_WARN</t>
        </is>
      </c>
      <c r="BG25" s="11" t="inlineStr">
        <is>
          <t>no contact channel</t>
        </is>
      </c>
    </row>
    <row r="26">
      <c r="A26" s="4" t="n">
        <v>22</v>
      </c>
      <c r="B26" s="14" t="n">
        <v>50.1</v>
      </c>
      <c r="C26" s="5" t="inlineStr">
        <is>
          <t>2BR · 63 m² — Miraflores · ID 149904784</t>
        </is>
      </c>
      <c r="D26" s="11" t="inlineStr">
        <is>
          <t>PRIMARY</t>
        </is>
      </c>
      <c r="E26" s="11" t="inlineStr"/>
      <c r="F26" s="6" t="n">
        <v>940.03</v>
      </c>
      <c r="G26" s="11" t="inlineStr">
        <is>
          <t>PEN 3,182</t>
        </is>
      </c>
      <c r="H26" s="11" t="inlineStr">
        <is>
          <t>CALCULATED</t>
        </is>
      </c>
      <c r="I26" s="15" t="n">
        <v>3182</v>
      </c>
      <c r="J26" s="5" t="inlineStr">
        <is>
          <t>S/ 370 (≈ USD 109)</t>
        </is>
      </c>
      <c r="K26" s="11" t="inlineStr">
        <is>
          <t>PUBLISHED</t>
        </is>
      </c>
      <c r="L26" s="6" t="n">
        <v>1049.34</v>
      </c>
      <c r="M26" s="5" t="inlineStr">
        <is>
          <t>BASE_RENT_COMPLIANT</t>
        </is>
      </c>
      <c r="N26" s="5" t="inlineStr">
        <is>
          <t>rent within budget but total ≈ USD 1,049 (over USD 1,000)</t>
        </is>
      </c>
      <c r="O26" s="4" t="n">
        <v>2</v>
      </c>
      <c r="P26" s="16" t="n">
        <v>2</v>
      </c>
      <c r="Q26" s="4" t="n">
        <v>63</v>
      </c>
      <c r="R26" s="11" t="inlineStr">
        <is>
          <t>total</t>
        </is>
      </c>
      <c r="S26" s="11" t="inlineStr">
        <is>
          <t>ACCEPTABLE</t>
        </is>
      </c>
      <c r="T26" s="14" t="n">
        <v>14.92</v>
      </c>
      <c r="U26" s="11" t="inlineStr">
        <is>
          <t>FAIR_VALUE</t>
        </is>
      </c>
      <c r="V26" s="11" t="inlineStr">
        <is>
          <t>No</t>
        </is>
      </c>
      <c r="W26" s="11" t="inlineStr">
        <is>
          <t>Yes</t>
        </is>
      </c>
      <c r="X26" s="11" t="n">
        <v>6</v>
      </c>
      <c r="Y26" s="11" t="inlineStr">
        <is>
          <t>Yes</t>
        </is>
      </c>
      <c r="Z26" s="11" t="inlineStr">
        <is>
          <t>UNKNOWN</t>
        </is>
      </c>
      <c r="AA26" s="11" t="inlineStr">
        <is>
          <t>UNKNOWN</t>
        </is>
      </c>
      <c r="AB26" s="11" t="inlineStr">
        <is>
          <t>Yes</t>
        </is>
      </c>
      <c r="AC26" s="5" t="inlineStr">
        <is>
          <t>UNKNOWN</t>
        </is>
      </c>
      <c r="AD26" s="11" t="inlineStr">
        <is>
          <t>UNKNOWN</t>
        </is>
      </c>
      <c r="AE26" s="5" t="inlineStr">
        <is>
          <t>NOISE UNCERTAIN · UNKNOWN risk · low confidence</t>
        </is>
      </c>
      <c r="AF26" s="11" t="inlineStr">
        <is>
          <t>—</t>
        </is>
      </c>
      <c r="AG26" s="5" t="inlineStr">
        <is>
          <t>No map location and no noise-related wording in the listing — street exposure unknown. Quietness estimate: low confidence.</t>
        </is>
      </c>
      <c r="AH26" s="11" t="inlineStr">
        <is>
          <t>UNKNOWN</t>
        </is>
      </c>
      <c r="AI26" s="11" t="inlineStr">
        <is>
          <t>UNKNOWN</t>
        </is>
      </c>
      <c r="AJ26" s="11" t="inlineStr">
        <is>
          <t>UNKNOWN</t>
        </is>
      </c>
      <c r="AK26" s="5" t="inlineStr">
        <is>
          <t>location data unavailable (neutral score)</t>
        </is>
      </c>
      <c r="AL26" s="5" t="inlineStr">
        <is>
          <t>12 months min.</t>
        </is>
      </c>
      <c r="AM26" s="5" t="inlineStr">
        <is>
          <t>2 months deposit; 1 in advance</t>
        </is>
      </c>
      <c r="AN26" s="11" t="inlineStr">
        <is>
          <t>UNKNOWN</t>
        </is>
      </c>
      <c r="AO26" s="11" t="inlineStr">
        <is>
          <t>UNKNOWN</t>
        </is>
      </c>
      <c r="AP26" s="11" t="inlineStr">
        <is>
          <t>LIKELY_ACTIVE</t>
        </is>
      </c>
      <c r="AQ26" s="5" t="inlineStr">
        <is>
          <t>building security/controlled access; balcony/terrace</t>
        </is>
      </c>
      <c r="AR26" s="5" t="inlineStr">
        <is>
          <t>rent + maintenance ≈ USD 1,049 (USD 940 rent + S/ 370 maintenance) exceeds USD 1,000</t>
        </is>
      </c>
      <c r="AS26" s="5" t="inlineStr">
        <is>
          <t>INCOMPLETE_ADDRESS; INCOMPLETE_CONTACT; NO_COORDINATES; NO_FURNITURE; NO_PUBLICATION_DATE; POSSIBLE_DUPLICATE; PRICE_CONVERTED_FROM_PEN; TOTAL_COST_OVER_BUDGET</t>
        </is>
      </c>
      <c r="AT26" s="11" t="inlineStr">
        <is>
          <t>UNKNOWN</t>
        </is>
      </c>
      <c r="AU26" s="11" t="inlineStr">
        <is>
          <t>minimum stay 12 months</t>
        </is>
      </c>
      <c r="AV26" s="11" t="inlineStr">
        <is>
          <t>UNKNOWN</t>
        </is>
      </c>
      <c r="AW26" s="11" t="inlineStr">
        <is>
          <t>UNKNOWN</t>
        </is>
      </c>
      <c r="AX26" s="11" t="inlineStr">
        <is>
          <t>Adondevivir</t>
        </is>
      </c>
      <c r="AY26" s="4" t="n">
        <v>1</v>
      </c>
      <c r="AZ26" s="11" t="inlineStr">
        <is>
          <t>G0025</t>
        </is>
      </c>
      <c r="BA26" s="11" t="inlineStr"/>
      <c r="BB26" s="9" t="inlineStr">
        <is>
          <t>View listing</t>
        </is>
      </c>
      <c r="BC26" s="11" t="inlineStr">
        <is>
          <t>—</t>
        </is>
      </c>
      <c r="BD26" s="11" t="inlineStr">
        <is>
          <t>—</t>
        </is>
      </c>
      <c r="BE26" s="11" t="inlineStr">
        <is>
          <t>none / -</t>
        </is>
      </c>
      <c r="BF26" s="11" t="inlineStr">
        <is>
          <t>PROGRAMMATIC_WARN</t>
        </is>
      </c>
      <c r="BG26" s="11" t="inlineStr">
        <is>
          <t>no contact channel</t>
        </is>
      </c>
    </row>
    <row r="27">
      <c r="A27" s="4" t="n">
        <v>23</v>
      </c>
      <c r="B27" s="14" t="n">
        <v>47.8</v>
      </c>
      <c r="C27" s="11" t="inlineStr">
        <is>
          <t>2BR · 65 m² — Malecon Reserva</t>
        </is>
      </c>
      <c r="D27" s="11" t="inlineStr">
        <is>
          <t>PRIMARY</t>
        </is>
      </c>
      <c r="E27" s="11" t="inlineStr"/>
      <c r="F27" s="6" t="n">
        <v>998.52</v>
      </c>
      <c r="G27" s="11" t="inlineStr">
        <is>
          <t>PEN 3,380</t>
        </is>
      </c>
      <c r="H27" s="11" t="inlineStr">
        <is>
          <t>CALCULATED</t>
        </is>
      </c>
      <c r="I27" s="15" t="n">
        <v>3380</v>
      </c>
      <c r="J27" s="5" t="inlineStr">
        <is>
          <t>S/ 360 (≈ USD 106)</t>
        </is>
      </c>
      <c r="K27" s="11" t="inlineStr">
        <is>
          <t>PUBLISHED</t>
        </is>
      </c>
      <c r="L27" s="6" t="n">
        <v>1104.87</v>
      </c>
      <c r="M27" s="5" t="inlineStr">
        <is>
          <t>BASE_RENT_COMPLIANT</t>
        </is>
      </c>
      <c r="N27" s="5" t="inlineStr">
        <is>
          <t>rent within budget but total ≈ USD 1,105 (over USD 1,000)</t>
        </is>
      </c>
      <c r="O27" s="4" t="n">
        <v>2</v>
      </c>
      <c r="P27" s="16" t="n">
        <v>2</v>
      </c>
      <c r="Q27" s="4" t="n">
        <v>65</v>
      </c>
      <c r="R27" s="11" t="inlineStr">
        <is>
          <t>total</t>
        </is>
      </c>
      <c r="S27" s="11" t="inlineStr">
        <is>
          <t>ACCEPTABLE</t>
        </is>
      </c>
      <c r="T27" s="14" t="n">
        <v>15.36</v>
      </c>
      <c r="U27" s="5" t="inlineStr">
        <is>
          <t>EXPENSIVE_RELATIVE_TO_SAMPLE</t>
        </is>
      </c>
      <c r="V27" s="11" t="inlineStr">
        <is>
          <t>No</t>
        </is>
      </c>
      <c r="W27" s="11" t="inlineStr">
        <is>
          <t>Yes</t>
        </is>
      </c>
      <c r="X27" s="5" t="inlineStr">
        <is>
          <t>UNKNOWN</t>
        </is>
      </c>
      <c r="Y27" s="11" t="inlineStr">
        <is>
          <t>Yes</t>
        </is>
      </c>
      <c r="Z27" s="11" t="inlineStr">
        <is>
          <t>Yes</t>
        </is>
      </c>
      <c r="AA27" s="11" t="inlineStr">
        <is>
          <t>UNKNOWN</t>
        </is>
      </c>
      <c r="AB27" s="11" t="inlineStr">
        <is>
          <t>UNKNOWN</t>
        </is>
      </c>
      <c r="AC27" s="11" t="inlineStr">
        <is>
          <t>No</t>
        </is>
      </c>
      <c r="AD27" s="11" t="inlineStr">
        <is>
          <t>Yes</t>
        </is>
      </c>
      <c r="AE27" s="5" t="inlineStr">
        <is>
          <t>POSSIBLY QUIET · MEDIUM risk · low confidence</t>
        </is>
      </c>
      <c r="AF27" s="4" t="n">
        <v>56</v>
      </c>
      <c r="AG27" s="5" t="inlineStr">
        <is>
          <t>No usable coordinates — text evidence only; listing says interior-facing / contrafrente; listing mentions 'av. armendariz' (major arterial) — check the distance. Quietness estimate: low confidence.</t>
        </is>
      </c>
      <c r="AH27" s="11" t="inlineStr">
        <is>
          <t>UNKNOWN</t>
        </is>
      </c>
      <c r="AI27" s="11" t="inlineStr">
        <is>
          <t>UNKNOWN</t>
        </is>
      </c>
      <c r="AJ27" s="11" t="inlineStr">
        <is>
          <t>UNKNOWN</t>
        </is>
      </c>
      <c r="AK27" s="5" t="inlineStr">
        <is>
          <t>location data unavailable (neutral score)</t>
        </is>
      </c>
      <c r="AL27" s="11" t="inlineStr">
        <is>
          <t>UNKNOWN</t>
        </is>
      </c>
      <c r="AM27" s="11" t="inlineStr">
        <is>
          <t>UNKNOWN</t>
        </is>
      </c>
      <c r="AN27" s="11" t="inlineStr">
        <is>
          <t>UNKNOWN</t>
        </is>
      </c>
      <c r="AO27" s="11" t="inlineStr">
        <is>
          <t>UNKNOWN</t>
        </is>
      </c>
      <c r="AP27" s="11" t="inlineStr">
        <is>
          <t>LIKELY_ACTIVE</t>
        </is>
      </c>
      <c r="AQ27" s="11" t="inlineStr">
        <is>
          <t>interior-facing; balcony/terrace</t>
        </is>
      </c>
      <c r="AR27" s="5" t="inlineStr">
        <is>
          <t>rent + maintenance ≈ USD 1,105 (USD 999 rent + S/ 360 maintenance) exceeds USD 1,000</t>
        </is>
      </c>
      <c r="AS27" s="5" t="inlineStr">
        <is>
          <t>INCOMPLETE_ADDRESS; INCOMPLETE_CONTACT; MAJOR_ARTERIAL_MENTIONED; NO_COORDINATES; NO_FURNITURE; NO_PUBLICATION_DATE; PRICE_CONVERTED_FROM_PEN; TOTAL_COST_OVER_BUDGET</t>
        </is>
      </c>
      <c r="AT27" s="11" t="inlineStr">
        <is>
          <t>UNKNOWN</t>
        </is>
      </c>
      <c r="AU27" s="11" t="inlineStr">
        <is>
          <t>—</t>
        </is>
      </c>
      <c r="AV27" s="11" t="inlineStr">
        <is>
          <t>UNKNOWN</t>
        </is>
      </c>
      <c r="AW27" s="11" t="inlineStr">
        <is>
          <t>UNKNOWN</t>
        </is>
      </c>
      <c r="AX27" s="11" t="inlineStr">
        <is>
          <t>Adondevivir</t>
        </is>
      </c>
      <c r="AY27" s="4" t="n">
        <v>1</v>
      </c>
      <c r="AZ27" s="11" t="inlineStr">
        <is>
          <t>G0024</t>
        </is>
      </c>
      <c r="BA27" s="11" t="inlineStr"/>
      <c r="BB27" s="9" t="inlineStr">
        <is>
          <t>View listing</t>
        </is>
      </c>
      <c r="BC27" s="11" t="inlineStr">
        <is>
          <t>—</t>
        </is>
      </c>
      <c r="BD27" s="11" t="inlineStr">
        <is>
          <t>—</t>
        </is>
      </c>
      <c r="BE27" s="11" t="inlineStr">
        <is>
          <t>none / -</t>
        </is>
      </c>
      <c r="BF27" s="11" t="inlineStr">
        <is>
          <t>PROGRAMMATIC_WARN</t>
        </is>
      </c>
      <c r="BG27" s="11" t="inlineStr">
        <is>
          <t>no contact channel</t>
        </is>
      </c>
    </row>
  </sheetData>
  <autoFilter ref="A4:BG27"/>
  <conditionalFormatting sqref="A5:BG27">
    <cfRule type="cellIs" priority="1" operator="equal" dxfId="0">
      <formula>"UNKNOWN"</formula>
    </cfRule>
    <cfRule type="expression" priority="11" dxfId="2">
      <formula>MOD(ROW(),2)=0</formula>
    </cfRule>
  </conditionalFormatting>
  <conditionalFormatting sqref="AE5:AE27">
    <cfRule type="expression" priority="2" dxfId="3" stopIfTrue="1">
      <formula>LEFT(AE5,12)="LIKELY QUIET"</formula>
    </cfRule>
    <cfRule type="expression" priority="3" dxfId="4" stopIfTrue="1">
      <formula>LEFT(AE5,14)="POSSIBLY QUIET"</formula>
    </cfRule>
    <cfRule type="expression" priority="4" dxfId="5" stopIfTrue="1">
      <formula>LEFT(AE5,15)="NOISE UNCERTAIN"</formula>
    </cfRule>
    <cfRule type="expression" priority="5" dxfId="6" stopIfTrue="1">
      <formula>LEFT(AE5,12)="LIKELY NOISY"</formula>
    </cfRule>
  </conditionalFormatting>
  <conditionalFormatting sqref="L5:L27">
    <cfRule type="cellIs" priority="6" operator="greaterThan" dxfId="7" stopIfTrue="1">
      <formula>1000</formula>
    </cfRule>
  </conditionalFormatting>
  <conditionalFormatting sqref="F5:F27">
    <cfRule type="cellIs" priority="7" operator="greaterThan" dxfId="7" stopIfTrue="1">
      <formula>1000</formula>
    </cfRule>
  </conditionalFormatting>
  <conditionalFormatting sqref="M5:M27">
    <cfRule type="expression" priority="8" dxfId="3" stopIfTrue="1">
      <formula>M5="STRICT_ALL_IN"</formula>
    </cfRule>
    <cfRule type="expression" priority="9" dxfId="8" stopIfTrue="1">
      <formula>M5="BASE_RENT_COMPLIANT"</formula>
    </cfRule>
  </conditionalFormatting>
  <conditionalFormatting sqref="B5:B27">
    <cfRule type="cellIs" priority="10" operator="greaterThanOrEqual" dxfId="9">
      <formula>75</formula>
    </cfRule>
  </conditionalFormatting>
  <hyperlinks>
    <hyperlink xmlns:r="http://schemas.openxmlformats.org/officeDocument/2006/relationships" ref="BB5" r:id="rId1"/>
    <hyperlink xmlns:r="http://schemas.openxmlformats.org/officeDocument/2006/relationships" ref="BB6" r:id="rId2"/>
    <hyperlink xmlns:r="http://schemas.openxmlformats.org/officeDocument/2006/relationships" ref="BB7" r:id="rId3"/>
    <hyperlink xmlns:r="http://schemas.openxmlformats.org/officeDocument/2006/relationships" ref="BB8" r:id="rId4"/>
    <hyperlink xmlns:r="http://schemas.openxmlformats.org/officeDocument/2006/relationships" ref="BB9" r:id="rId5"/>
    <hyperlink xmlns:r="http://schemas.openxmlformats.org/officeDocument/2006/relationships" ref="BD9" r:id="rId6"/>
    <hyperlink xmlns:r="http://schemas.openxmlformats.org/officeDocument/2006/relationships" ref="BB10" r:id="rId7"/>
    <hyperlink xmlns:r="http://schemas.openxmlformats.org/officeDocument/2006/relationships" ref="BB11" r:id="rId8"/>
    <hyperlink xmlns:r="http://schemas.openxmlformats.org/officeDocument/2006/relationships" ref="BB12" r:id="rId9"/>
    <hyperlink xmlns:r="http://schemas.openxmlformats.org/officeDocument/2006/relationships" ref="BB13" r:id="rId10"/>
    <hyperlink xmlns:r="http://schemas.openxmlformats.org/officeDocument/2006/relationships" ref="BB14" r:id="rId11"/>
    <hyperlink xmlns:r="http://schemas.openxmlformats.org/officeDocument/2006/relationships" ref="BB15" r:id="rId12"/>
    <hyperlink xmlns:r="http://schemas.openxmlformats.org/officeDocument/2006/relationships" ref="BB16" r:id="rId13"/>
    <hyperlink xmlns:r="http://schemas.openxmlformats.org/officeDocument/2006/relationships" ref="BB17" r:id="rId14"/>
    <hyperlink xmlns:r="http://schemas.openxmlformats.org/officeDocument/2006/relationships" ref="BB18" r:id="rId15"/>
    <hyperlink xmlns:r="http://schemas.openxmlformats.org/officeDocument/2006/relationships" ref="BB19" r:id="rId16"/>
    <hyperlink xmlns:r="http://schemas.openxmlformats.org/officeDocument/2006/relationships" ref="BB20" r:id="rId17"/>
    <hyperlink xmlns:r="http://schemas.openxmlformats.org/officeDocument/2006/relationships" ref="BB21" r:id="rId18"/>
    <hyperlink xmlns:r="http://schemas.openxmlformats.org/officeDocument/2006/relationships" ref="BB22" r:id="rId19"/>
    <hyperlink xmlns:r="http://schemas.openxmlformats.org/officeDocument/2006/relationships" ref="BB23" r:id="rId20"/>
    <hyperlink xmlns:r="http://schemas.openxmlformats.org/officeDocument/2006/relationships" ref="BD23" r:id="rId21"/>
    <hyperlink xmlns:r="http://schemas.openxmlformats.org/officeDocument/2006/relationships" ref="BB24" r:id="rId22"/>
    <hyperlink xmlns:r="http://schemas.openxmlformats.org/officeDocument/2006/relationships" ref="BB25" r:id="rId23"/>
    <hyperlink xmlns:r="http://schemas.openxmlformats.org/officeDocument/2006/relationships" ref="BB26" r:id="rId24"/>
    <hyperlink xmlns:r="http://schemas.openxmlformats.org/officeDocument/2006/relationships" ref="BB27" r:id="rId25"/>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G6"/>
  <sheetViews>
    <sheetView zoomScale="10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4" customWidth="1" min="3" max="3"/>
    <col width="11" customWidth="1" min="4" max="4"/>
    <col width="30" customWidth="1" min="5" max="5"/>
    <col width="11" customWidth="1" min="6" max="6"/>
    <col width="13" customWidth="1" min="7" max="7"/>
    <col width="11" customWidth="1" min="8" max="8"/>
    <col width="10" customWidth="1" min="9" max="9"/>
    <col width="16" customWidth="1" min="10" max="10"/>
    <col width="11" customWidth="1" min="11" max="11"/>
    <col width="11" customWidth="1" min="12" max="12"/>
    <col width="16" customWidth="1" min="13" max="13"/>
    <col width="26" customWidth="1" min="14" max="14"/>
    <col width="8" customWidth="1" min="15" max="15"/>
    <col width="8" customWidth="1" min="16" max="16"/>
    <col width="8" customWidth="1" min="17" max="17"/>
    <col width="8" customWidth="1" min="18" max="18"/>
    <col width="12" customWidth="1" min="19" max="19"/>
    <col width="8" customWidth="1" min="20" max="20"/>
    <col width="18" customWidth="1" min="21" max="21"/>
    <col width="10" customWidth="1" min="22" max="22"/>
    <col width="9" customWidth="1" min="23" max="23"/>
    <col width="7" customWidth="1" min="24" max="24"/>
    <col width="9" customWidth="1" min="25" max="25"/>
    <col width="8" customWidth="1" min="26" max="26"/>
    <col width="8" customWidth="1" min="27" max="27"/>
    <col width="8" customWidth="1" min="28" max="28"/>
    <col width="7" customWidth="1" min="29" max="29"/>
    <col width="8" customWidth="1" min="30" max="30"/>
    <col width="22" customWidth="1" min="31" max="31"/>
    <col width="9" customWidth="1" min="32" max="32"/>
    <col width="50" customWidth="1" min="33" max="33"/>
    <col width="10" customWidth="1" min="34" max="34"/>
    <col width="10" customWidth="1" min="35" max="35"/>
    <col width="8" customWidth="1" min="36" max="36"/>
    <col width="30" customWidth="1" min="37" max="37"/>
    <col width="12" customWidth="1" min="38" max="38"/>
    <col width="14" customWidth="1" min="39" max="39"/>
    <col width="14" customWidth="1" min="40" max="40"/>
    <col width="11" customWidth="1" min="41" max="41"/>
    <col width="14" customWidth="1" min="42" max="42"/>
    <col width="40" customWidth="1" min="43" max="43"/>
    <col width="36" customWidth="1" min="44" max="44"/>
    <col width="40" customWidth="1" min="45" max="45"/>
    <col width="14" customWidth="1" min="46" max="46"/>
    <col width="30" customWidth="1" min="47" max="47"/>
    <col width="20" customWidth="1" min="48" max="48"/>
    <col width="14" customWidth="1" min="49" max="49"/>
    <col width="14" customWidth="1" min="50" max="50"/>
    <col width="7" customWidth="1" min="51" max="51"/>
    <col width="9" customWidth="1" min="52" max="52"/>
    <col width="24" customWidth="1" min="53" max="53"/>
    <col width="12" customWidth="1" min="54" max="54"/>
    <col width="14" customWidth="1" min="55" max="55"/>
    <col width="10" customWidth="1" min="56" max="56"/>
    <col width="16" customWidth="1" min="57" max="57"/>
    <col width="18" customWidth="1" min="58" max="58"/>
    <col width="30" customWidth="1" min="59" max="59"/>
  </cols>
  <sheetData>
    <row r="1">
      <c r="A1" s="1" t="inlineStr">
        <is>
          <t>Stretch / negotiable (rent USD 1,001–1,100) — kept separate</t>
        </is>
      </c>
    </row>
    <row r="2">
      <c r="A2" s="13" t="inlineStr">
        <is>
          <t>Generated 2026-09-24T20:49:33-05:00 · FX 1 USD = S/ 3.385 (BCRP live)</t>
        </is>
      </c>
    </row>
    <row r="4" ht="30" customHeight="1">
      <c r="A4" s="3" t="inlineStr">
        <is>
          <t>Rank</t>
        </is>
      </c>
      <c r="B4" s="3" t="inlineStr">
        <is>
          <t>Fit Score</t>
        </is>
      </c>
      <c r="C4" s="3" t="inlineStr">
        <is>
          <t>Property</t>
        </is>
      </c>
      <c r="D4" s="3" t="inlineStr">
        <is>
          <t>Category</t>
        </is>
      </c>
      <c r="E4" s="3" t="inlineStr">
        <is>
          <t>Why in this sheet</t>
        </is>
      </c>
      <c r="F4" s="3" t="inlineStr">
        <is>
          <t>Monthly Rent USD</t>
        </is>
      </c>
      <c r="G4" s="3" t="inlineStr">
        <is>
          <t>Rent as published</t>
        </is>
      </c>
      <c r="H4" s="3" t="inlineStr">
        <is>
          <t>Rent USD basis</t>
        </is>
      </c>
      <c r="I4" s="3" t="inlineStr">
        <is>
          <t>Rent PEN</t>
        </is>
      </c>
      <c r="J4" s="3" t="inlineStr">
        <is>
          <t>Maintenance</t>
        </is>
      </c>
      <c r="K4" s="3" t="inlineStr">
        <is>
          <t>Maintenance basis</t>
        </is>
      </c>
      <c r="L4" s="3" t="inlineStr">
        <is>
          <t>Estimated Total USD</t>
        </is>
      </c>
      <c r="M4" s="3" t="inlineStr">
        <is>
          <t>Budget Class</t>
        </is>
      </c>
      <c r="N4" s="3" t="inlineStr">
        <is>
          <t>Budget note</t>
        </is>
      </c>
      <c r="O4" s="3" t="inlineStr">
        <is>
          <t>Bedrooms</t>
        </is>
      </c>
      <c r="P4" s="3" t="inlineStr">
        <is>
          <t>Bathrooms</t>
        </is>
      </c>
      <c r="Q4" s="3" t="inlineStr">
        <is>
          <t>Area m²</t>
        </is>
      </c>
      <c r="R4" s="3" t="inlineStr">
        <is>
          <t>Area basis</t>
        </is>
      </c>
      <c r="S4" s="3" t="inlineStr">
        <is>
          <t>Space band</t>
        </is>
      </c>
      <c r="T4" s="3" t="inlineStr">
        <is>
          <t>USD/m²</t>
        </is>
      </c>
      <c r="U4" s="3" t="inlineStr">
        <is>
          <t>Value band</t>
        </is>
      </c>
      <c r="V4" s="3" t="inlineStr">
        <is>
          <t>Furnished</t>
        </is>
      </c>
      <c r="W4" s="3" t="inlineStr">
        <is>
          <t>Parking</t>
        </is>
      </c>
      <c r="X4" s="3" t="inlineStr">
        <is>
          <t>Floor</t>
        </is>
      </c>
      <c r="Y4" s="3" t="inlineStr">
        <is>
          <t>Balcony/Terrace</t>
        </is>
      </c>
      <c r="Z4" s="3" t="inlineStr">
        <is>
          <t>Laundry</t>
        </is>
      </c>
      <c r="AA4" s="3" t="inlineStr">
        <is>
          <t>Elevator</t>
        </is>
      </c>
      <c r="AB4" s="3" t="inlineStr">
        <is>
          <t>Security</t>
        </is>
      </c>
      <c r="AC4" s="3" t="inlineStr">
        <is>
          <t>Pets</t>
        </is>
      </c>
      <c r="AD4" s="3" t="inlineStr">
        <is>
          <t>Interior view</t>
        </is>
      </c>
      <c r="AE4" s="3" t="inlineStr">
        <is>
          <t>Noise Risk</t>
        </is>
      </c>
      <c r="AF4" s="3" t="inlineStr">
        <is>
          <t>Quietness Score</t>
        </is>
      </c>
      <c r="AG4" s="3" t="inlineStr">
        <is>
          <t>Quietness evidence</t>
        </is>
      </c>
      <c r="AH4" s="3" t="inlineStr">
        <is>
          <t>Nearest major road (m)</t>
        </is>
      </c>
      <c r="AI4" s="3" t="inlineStr">
        <is>
          <t>Nearest nightclub (m)</t>
        </is>
      </c>
      <c r="AJ4" s="3" t="inlineStr">
        <is>
          <t>Bars ≤150 m</t>
        </is>
      </c>
      <c r="AK4" s="3" t="inlineStr">
        <is>
          <t>Daily needs nearby</t>
        </is>
      </c>
      <c r="AL4" s="3" t="inlineStr">
        <is>
          <t>Contract</t>
        </is>
      </c>
      <c r="AM4" s="3" t="inlineStr">
        <is>
          <t>Deposit</t>
        </is>
      </c>
      <c r="AN4" s="3" t="inlineStr">
        <is>
          <t>Utilities included</t>
        </is>
      </c>
      <c r="AO4" s="3" t="inlineStr">
        <is>
          <t>Published</t>
        </is>
      </c>
      <c r="AP4" s="3" t="inlineStr">
        <is>
          <t>Active status</t>
        </is>
      </c>
      <c r="AQ4" s="3" t="inlineStr">
        <is>
          <t>Main Advantage</t>
        </is>
      </c>
      <c r="AR4" s="3" t="inlineStr">
        <is>
          <t>Main Drawback</t>
        </is>
      </c>
      <c r="AS4" s="3" t="inlineStr">
        <is>
          <t>Red flags</t>
        </is>
      </c>
      <c r="AT4" s="3" t="inlineStr">
        <is>
          <t>Foreign Tenant</t>
        </is>
      </c>
      <c r="AU4" s="3" t="inlineStr">
        <is>
          <t>Foreign-tenant evidence</t>
        </is>
      </c>
      <c r="AV4" s="3" t="inlineStr">
        <is>
          <t>Agency / agent</t>
        </is>
      </c>
      <c r="AW4" s="3" t="inlineStr">
        <is>
          <t>Phone</t>
        </is>
      </c>
      <c r="AX4" s="3" t="inlineStr">
        <is>
          <t>Source</t>
        </is>
      </c>
      <c r="AY4" s="3" t="inlineStr">
        <is>
          <t># Sources</t>
        </is>
      </c>
      <c r="AZ4" s="3" t="inlineStr">
        <is>
          <t>Duplicate group</t>
        </is>
      </c>
      <c r="BA4" s="3" t="inlineStr">
        <is>
          <t>Duplicate conflicts</t>
        </is>
      </c>
      <c r="BB4" s="3" t="inlineStr">
        <is>
          <t>View Listing</t>
        </is>
      </c>
      <c r="BC4" s="3" t="inlineStr">
        <is>
          <t>WhatsApp</t>
        </is>
      </c>
      <c r="BD4" s="3" t="inlineStr">
        <is>
          <t>Map</t>
        </is>
      </c>
      <c r="BE4" s="3" t="inlineStr">
        <is>
          <t>Location source</t>
        </is>
      </c>
      <c r="BF4" s="3" t="inlineStr">
        <is>
          <t>QA Status</t>
        </is>
      </c>
      <c r="BG4" s="3" t="inlineStr">
        <is>
          <t>QA notes</t>
        </is>
      </c>
    </row>
    <row r="5">
      <c r="A5" s="4" t="n">
        <v>1</v>
      </c>
      <c r="B5" s="14" t="n">
        <v>54</v>
      </c>
      <c r="C5" s="5" t="inlineStr">
        <is>
          <t>2BR · 72 m² — Miraflores · ID 151077958</t>
        </is>
      </c>
      <c r="D5" s="11" t="inlineStr">
        <is>
          <t>STRETCH</t>
        </is>
      </c>
      <c r="E5" s="5" t="inlineStr">
        <is>
          <t>Rent USD 1,004: above the USD 1,000 target; only worth it if negotiable</t>
        </is>
      </c>
      <c r="F5" s="6" t="n">
        <v>1004.43</v>
      </c>
      <c r="G5" s="11" t="inlineStr">
        <is>
          <t>PEN 3,400</t>
        </is>
      </c>
      <c r="H5" s="11" t="inlineStr">
        <is>
          <t>CALCULATED</t>
        </is>
      </c>
      <c r="I5" s="15" t="n">
        <v>3400</v>
      </c>
      <c r="J5" s="5" t="inlineStr">
        <is>
          <t>S/ 420 (≈ USD 124)</t>
        </is>
      </c>
      <c r="K5" s="11" t="inlineStr">
        <is>
          <t>PUBLISHED</t>
        </is>
      </c>
      <c r="L5" s="6" t="n">
        <v>1128.51</v>
      </c>
      <c r="M5" s="11" t="inlineStr">
        <is>
          <t>STRETCH</t>
        </is>
      </c>
      <c r="N5" s="11" t="inlineStr">
        <is>
          <t>rent USD 1,004 (stretch)</t>
        </is>
      </c>
      <c r="O5" s="4" t="n">
        <v>2</v>
      </c>
      <c r="P5" s="16" t="n">
        <v>2</v>
      </c>
      <c r="Q5" s="4" t="n">
        <v>72</v>
      </c>
      <c r="R5" s="11" t="inlineStr">
        <is>
          <t>total</t>
        </is>
      </c>
      <c r="S5" s="11" t="inlineStr">
        <is>
          <t>GOOD</t>
        </is>
      </c>
      <c r="T5" s="14" t="n">
        <v>13.95</v>
      </c>
      <c r="U5" s="11" t="inlineStr">
        <is>
          <t>FAIR_VALUE</t>
        </is>
      </c>
      <c r="V5" s="11" t="inlineStr">
        <is>
          <t>Yes</t>
        </is>
      </c>
      <c r="W5" s="11" t="inlineStr">
        <is>
          <t>UNKNOWN</t>
        </is>
      </c>
      <c r="X5" s="11" t="n">
        <v>8</v>
      </c>
      <c r="Y5" s="11" t="inlineStr">
        <is>
          <t>UNKNOWN</t>
        </is>
      </c>
      <c r="Z5" s="11" t="inlineStr">
        <is>
          <t>UNKNOWN</t>
        </is>
      </c>
      <c r="AA5" s="11" t="inlineStr">
        <is>
          <t>UNKNOWN</t>
        </is>
      </c>
      <c r="AB5" s="11" t="inlineStr">
        <is>
          <t>UNKNOWN</t>
        </is>
      </c>
      <c r="AC5" s="5" t="inlineStr">
        <is>
          <t>UNKNOWN</t>
        </is>
      </c>
      <c r="AD5" s="11" t="inlineStr">
        <is>
          <t>Yes</t>
        </is>
      </c>
      <c r="AE5" s="5" t="inlineStr">
        <is>
          <t>POSSIBLY QUIET · MEDIUM risk · low confidence</t>
        </is>
      </c>
      <c r="AF5" s="4" t="n">
        <v>58</v>
      </c>
      <c r="AG5" s="5" t="inlineStr">
        <is>
          <t>No usable coordinates — text evidence only; listing says interior-facing / contrafrente; listing mentions 'av. ejercito' (major arterial) — check the distance; high floor (8). Quietness estimate: low confidence.</t>
        </is>
      </c>
      <c r="AH5" s="11" t="inlineStr">
        <is>
          <t>UNKNOWN</t>
        </is>
      </c>
      <c r="AI5" s="11" t="inlineStr">
        <is>
          <t>UNKNOWN</t>
        </is>
      </c>
      <c r="AJ5" s="11" t="inlineStr">
        <is>
          <t>UNKNOWN</t>
        </is>
      </c>
      <c r="AK5" s="5" t="inlineStr">
        <is>
          <t>location data unavailable (neutral score)</t>
        </is>
      </c>
      <c r="AL5" s="5" t="inlineStr">
        <is>
          <t>12 months min.</t>
        </is>
      </c>
      <c r="AM5" s="5" t="inlineStr">
        <is>
          <t>2 months deposit; 1 in advance</t>
        </is>
      </c>
      <c r="AN5" s="11" t="inlineStr">
        <is>
          <t>water</t>
        </is>
      </c>
      <c r="AO5" s="11" t="inlineStr">
        <is>
          <t>UNKNOWN</t>
        </is>
      </c>
      <c r="AP5" s="11" t="inlineStr">
        <is>
          <t>LIKELY_ACTIVE</t>
        </is>
      </c>
      <c r="AQ5" s="5" t="inlineStr">
        <is>
          <t>72 m² area — good for a 2-bedroom; interior-facing; furnished</t>
        </is>
      </c>
      <c r="AR5" s="5" t="inlineStr">
        <is>
          <t>rent + maintenance ≈ USD 1,129 (USD 1,004 rent + S/ 420 maintenance) exceeds USD 1,000</t>
        </is>
      </c>
      <c r="AS5" s="5" t="inlineStr">
        <is>
          <t>INCOMPLETE_ADDRESS; INCOMPLETE_CONTACT; MAJOR_ARTERIAL_MENTIONED; NO_COORDINATES; NO_PUBLICATION_DATE; PRICE_CONVERTED_FROM_PEN; PRICE_OVER_BUDGET; TOTAL_COST_OVER_BUDGET</t>
        </is>
      </c>
      <c r="AT5" s="11" t="inlineStr">
        <is>
          <t>MEDIUM</t>
        </is>
      </c>
      <c r="AU5" s="5" t="inlineStr">
        <is>
          <t>utilities included; furnished; minimum stay 12 months</t>
        </is>
      </c>
      <c r="AV5" s="11" t="inlineStr">
        <is>
          <t>UNKNOWN</t>
        </is>
      </c>
      <c r="AW5" s="11" t="inlineStr">
        <is>
          <t>UNKNOWN</t>
        </is>
      </c>
      <c r="AX5" s="5" t="inlineStr">
        <is>
          <t>Adondevivir + Urbania</t>
        </is>
      </c>
      <c r="AY5" s="4" t="n">
        <v>2</v>
      </c>
      <c r="AZ5" s="11" t="inlineStr">
        <is>
          <t>G0019</t>
        </is>
      </c>
      <c r="BA5" s="11" t="inlineStr"/>
      <c r="BB5" s="9" t="inlineStr">
        <is>
          <t>View listing</t>
        </is>
      </c>
      <c r="BC5" s="11" t="inlineStr">
        <is>
          <t>—</t>
        </is>
      </c>
      <c r="BD5" s="11" t="inlineStr">
        <is>
          <t>—</t>
        </is>
      </c>
      <c r="BE5" s="11" t="inlineStr">
        <is>
          <t>none / -</t>
        </is>
      </c>
      <c r="BF5" s="11" t="inlineStr">
        <is>
          <t>PROGRAMMATIC_WARN</t>
        </is>
      </c>
      <c r="BG5" s="11" t="inlineStr">
        <is>
          <t>no contact channel</t>
        </is>
      </c>
    </row>
    <row r="6">
      <c r="A6" s="4" t="n">
        <v>2</v>
      </c>
      <c r="B6" s="14" t="n">
        <v>46.8</v>
      </c>
      <c r="C6" s="5" t="inlineStr">
        <is>
          <t>2BR · 60 m² — Miraflores · ID 151047414</t>
        </is>
      </c>
      <c r="D6" s="11" t="inlineStr">
        <is>
          <t>STRETCH</t>
        </is>
      </c>
      <c r="E6" s="5" t="inlineStr">
        <is>
          <t>Rent USD 1,046: above the USD 1,000 target; only worth it if negotiable</t>
        </is>
      </c>
      <c r="F6" s="6" t="n">
        <v>1045.79</v>
      </c>
      <c r="G6" s="11" t="inlineStr">
        <is>
          <t>PEN 3,540</t>
        </is>
      </c>
      <c r="H6" s="11" t="inlineStr">
        <is>
          <t>CALCULATED</t>
        </is>
      </c>
      <c r="I6" s="15" t="n">
        <v>3540</v>
      </c>
      <c r="J6" s="5" t="inlineStr">
        <is>
          <t>S/ 350 (≈ USD 103)</t>
        </is>
      </c>
      <c r="K6" s="11" t="inlineStr">
        <is>
          <t>PUBLISHED</t>
        </is>
      </c>
      <c r="L6" s="6" t="n">
        <v>1149.19</v>
      </c>
      <c r="M6" s="11" t="inlineStr">
        <is>
          <t>STRETCH</t>
        </is>
      </c>
      <c r="N6" s="11" t="inlineStr">
        <is>
          <t>rent USD 1,046 (stretch)</t>
        </is>
      </c>
      <c r="O6" s="4" t="n">
        <v>2</v>
      </c>
      <c r="P6" s="16" t="n">
        <v>2</v>
      </c>
      <c r="Q6" s="4" t="n">
        <v>60</v>
      </c>
      <c r="R6" s="11" t="inlineStr">
        <is>
          <t>total</t>
        </is>
      </c>
      <c r="S6" s="11" t="inlineStr">
        <is>
          <t>ACCEPTABLE</t>
        </is>
      </c>
      <c r="T6" s="14" t="n">
        <v>17.43</v>
      </c>
      <c r="U6" s="5" t="inlineStr">
        <is>
          <t>EXPENSIVE_RELATIVE_TO_SAMPLE</t>
        </is>
      </c>
      <c r="V6" s="11" t="inlineStr">
        <is>
          <t>UNKNOWN</t>
        </is>
      </c>
      <c r="W6" s="11" t="inlineStr">
        <is>
          <t>UNKNOWN</t>
        </is>
      </c>
      <c r="X6" s="5" t="inlineStr">
        <is>
          <t>UNKNOWN</t>
        </is>
      </c>
      <c r="Y6" s="11" t="inlineStr">
        <is>
          <t>Yes</t>
        </is>
      </c>
      <c r="Z6" s="11" t="inlineStr">
        <is>
          <t>Yes</t>
        </is>
      </c>
      <c r="AA6" s="11" t="inlineStr">
        <is>
          <t>UNKNOWN</t>
        </is>
      </c>
      <c r="AB6" s="11" t="inlineStr">
        <is>
          <t>Yes</t>
        </is>
      </c>
      <c r="AC6" s="5" t="inlineStr">
        <is>
          <t>UNKNOWN</t>
        </is>
      </c>
      <c r="AD6" s="11" t="inlineStr">
        <is>
          <t>UNKNOWN</t>
        </is>
      </c>
      <c r="AE6" s="5" t="inlineStr">
        <is>
          <t>NOISE UNCERTAIN · MEDIUM risk · low confidence</t>
        </is>
      </c>
      <c r="AF6" s="4" t="n">
        <v>52</v>
      </c>
      <c r="AG6" s="5" t="inlineStr">
        <is>
          <t>No usable coordinates — text evidence only; seller describes the street as quiet (unverified claim). Quietness estimate: low confidence.</t>
        </is>
      </c>
      <c r="AH6" s="11" t="inlineStr">
        <is>
          <t>UNKNOWN</t>
        </is>
      </c>
      <c r="AI6" s="11" t="inlineStr">
        <is>
          <t>UNKNOWN</t>
        </is>
      </c>
      <c r="AJ6" s="11" t="inlineStr">
        <is>
          <t>UNKNOWN</t>
        </is>
      </c>
      <c r="AK6" s="5" t="inlineStr">
        <is>
          <t>location data unavailable (neutral score)</t>
        </is>
      </c>
      <c r="AL6" s="5" t="inlineStr">
        <is>
          <t>12 months min.</t>
        </is>
      </c>
      <c r="AM6" s="5" t="inlineStr">
        <is>
          <t>2 months deposit; 1 in advance</t>
        </is>
      </c>
      <c r="AN6" s="11" t="inlineStr">
        <is>
          <t>UNKNOWN</t>
        </is>
      </c>
      <c r="AO6" s="11" t="inlineStr">
        <is>
          <t>UNKNOWN</t>
        </is>
      </c>
      <c r="AP6" s="11" t="inlineStr">
        <is>
          <t>LIKELY_ACTIVE</t>
        </is>
      </c>
      <c r="AQ6" s="5" t="inlineStr">
        <is>
          <t>building security/controlled access; balcony/terrace</t>
        </is>
      </c>
      <c r="AR6" s="5" t="inlineStr">
        <is>
          <t>rent + maintenance ≈ USD 1,149 (USD 1,046 rent + S/ 350 maintenance) exceeds USD 1,000</t>
        </is>
      </c>
      <c r="AS6" s="5" t="inlineStr">
        <is>
          <t>INCOMPLETE_ADDRESS; INCOMPLETE_CONTACT; NO_COORDINATES; NO_PUBLICATION_DATE; POSSIBLE_DUPLICATE; PRICE_CONVERTED_FROM_PEN; PRICE_OVER_BUDGET; TOTAL_COST_OVER_BUDGET</t>
        </is>
      </c>
      <c r="AT6" s="11" t="inlineStr">
        <is>
          <t>UNKNOWN</t>
        </is>
      </c>
      <c r="AU6" s="11" t="inlineStr">
        <is>
          <t>minimum stay 12 months</t>
        </is>
      </c>
      <c r="AV6" s="11" t="inlineStr">
        <is>
          <t>UNKNOWN</t>
        </is>
      </c>
      <c r="AW6" s="11" t="inlineStr">
        <is>
          <t>UNKNOWN</t>
        </is>
      </c>
      <c r="AX6" s="11" t="inlineStr">
        <is>
          <t>Adondevivir</t>
        </is>
      </c>
      <c r="AY6" s="4" t="n">
        <v>1</v>
      </c>
      <c r="AZ6" s="11" t="inlineStr">
        <is>
          <t>G0027</t>
        </is>
      </c>
      <c r="BA6" s="11" t="inlineStr"/>
      <c r="BB6" s="9" t="inlineStr">
        <is>
          <t>View listing</t>
        </is>
      </c>
      <c r="BC6" s="11" t="inlineStr">
        <is>
          <t>—</t>
        </is>
      </c>
      <c r="BD6" s="11" t="inlineStr">
        <is>
          <t>—</t>
        </is>
      </c>
      <c r="BE6" s="11" t="inlineStr">
        <is>
          <t>none / -</t>
        </is>
      </c>
      <c r="BF6" s="11" t="inlineStr">
        <is>
          <t>PROGRAMMATIC_WARN</t>
        </is>
      </c>
      <c r="BG6" s="11" t="inlineStr">
        <is>
          <t>no contact channel</t>
        </is>
      </c>
    </row>
  </sheetData>
  <autoFilter ref="A4:BG6"/>
  <conditionalFormatting sqref="A5:BG6">
    <cfRule type="cellIs" priority="1" operator="equal" dxfId="0">
      <formula>"UNKNOWN"</formula>
    </cfRule>
    <cfRule type="expression" priority="11" dxfId="2">
      <formula>MOD(ROW(),2)=0</formula>
    </cfRule>
  </conditionalFormatting>
  <conditionalFormatting sqref="AE5:AE6">
    <cfRule type="expression" priority="2" dxfId="3" stopIfTrue="1">
      <formula>LEFT(AE5,12)="LIKELY QUIET"</formula>
    </cfRule>
    <cfRule type="expression" priority="3" dxfId="4" stopIfTrue="1">
      <formula>LEFT(AE5,14)="POSSIBLY QUIET"</formula>
    </cfRule>
    <cfRule type="expression" priority="4" dxfId="5" stopIfTrue="1">
      <formula>LEFT(AE5,15)="NOISE UNCERTAIN"</formula>
    </cfRule>
    <cfRule type="expression" priority="5" dxfId="6" stopIfTrue="1">
      <formula>LEFT(AE5,12)="LIKELY NOISY"</formula>
    </cfRule>
  </conditionalFormatting>
  <conditionalFormatting sqref="L5:L6">
    <cfRule type="cellIs" priority="6" operator="greaterThan" dxfId="7" stopIfTrue="1">
      <formula>1000</formula>
    </cfRule>
  </conditionalFormatting>
  <conditionalFormatting sqref="F5:F6">
    <cfRule type="cellIs" priority="7" operator="greaterThan" dxfId="7" stopIfTrue="1">
      <formula>1000</formula>
    </cfRule>
  </conditionalFormatting>
  <conditionalFormatting sqref="M5:M6">
    <cfRule type="expression" priority="8" dxfId="3" stopIfTrue="1">
      <formula>M5="STRICT_ALL_IN"</formula>
    </cfRule>
    <cfRule type="expression" priority="9" dxfId="8" stopIfTrue="1">
      <formula>M5="BASE_RENT_COMPLIANT"</formula>
    </cfRule>
  </conditionalFormatting>
  <conditionalFormatting sqref="B5:B6">
    <cfRule type="cellIs" priority="10" operator="greaterThanOrEqual" dxfId="9">
      <formula>75</formula>
    </cfRule>
  </conditionalFormatting>
  <hyperlinks>
    <hyperlink xmlns:r="http://schemas.openxmlformats.org/officeDocument/2006/relationships" ref="BB5" r:id="rId1"/>
    <hyperlink xmlns:r="http://schemas.openxmlformats.org/officeDocument/2006/relationships" ref="BB6"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G5"/>
  <sheetViews>
    <sheetView zoomScale="10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4" customWidth="1" min="3" max="3"/>
    <col width="11" customWidth="1" min="4" max="4"/>
    <col width="30" customWidth="1" min="5" max="5"/>
    <col width="11" customWidth="1" min="6" max="6"/>
    <col width="13" customWidth="1" min="7" max="7"/>
    <col width="11" customWidth="1" min="8" max="8"/>
    <col width="10" customWidth="1" min="9" max="9"/>
    <col width="16" customWidth="1" min="10" max="10"/>
    <col width="11" customWidth="1" min="11" max="11"/>
    <col width="11" customWidth="1" min="12" max="12"/>
    <col width="16" customWidth="1" min="13" max="13"/>
    <col width="26" customWidth="1" min="14" max="14"/>
    <col width="8" customWidth="1" min="15" max="15"/>
    <col width="8" customWidth="1" min="16" max="16"/>
    <col width="8" customWidth="1" min="17" max="17"/>
    <col width="8" customWidth="1" min="18" max="18"/>
    <col width="12" customWidth="1" min="19" max="19"/>
    <col width="8" customWidth="1" min="20" max="20"/>
    <col width="18" customWidth="1" min="21" max="21"/>
    <col width="10" customWidth="1" min="22" max="22"/>
    <col width="9" customWidth="1" min="23" max="23"/>
    <col width="7" customWidth="1" min="24" max="24"/>
    <col width="9" customWidth="1" min="25" max="25"/>
    <col width="8" customWidth="1" min="26" max="26"/>
    <col width="8" customWidth="1" min="27" max="27"/>
    <col width="8" customWidth="1" min="28" max="28"/>
    <col width="7" customWidth="1" min="29" max="29"/>
    <col width="8" customWidth="1" min="30" max="30"/>
    <col width="22" customWidth="1" min="31" max="31"/>
    <col width="9" customWidth="1" min="32" max="32"/>
    <col width="50" customWidth="1" min="33" max="33"/>
    <col width="10" customWidth="1" min="34" max="34"/>
    <col width="10" customWidth="1" min="35" max="35"/>
    <col width="8" customWidth="1" min="36" max="36"/>
    <col width="30" customWidth="1" min="37" max="37"/>
    <col width="12" customWidth="1" min="38" max="38"/>
    <col width="14" customWidth="1" min="39" max="39"/>
    <col width="14" customWidth="1" min="40" max="40"/>
    <col width="11" customWidth="1" min="41" max="41"/>
    <col width="14" customWidth="1" min="42" max="42"/>
    <col width="40" customWidth="1" min="43" max="43"/>
    <col width="36" customWidth="1" min="44" max="44"/>
    <col width="40" customWidth="1" min="45" max="45"/>
    <col width="14" customWidth="1" min="46" max="46"/>
    <col width="30" customWidth="1" min="47" max="47"/>
    <col width="20" customWidth="1" min="48" max="48"/>
    <col width="14" customWidth="1" min="49" max="49"/>
    <col width="14" customWidth="1" min="50" max="50"/>
    <col width="7" customWidth="1" min="51" max="51"/>
    <col width="9" customWidth="1" min="52" max="52"/>
    <col width="24" customWidth="1" min="53" max="53"/>
    <col width="12" customWidth="1" min="54" max="54"/>
    <col width="14" customWidth="1" min="55" max="55"/>
    <col width="10" customWidth="1" min="56" max="56"/>
    <col width="16" customWidth="1" min="57" max="57"/>
    <col width="18" customWidth="1" min="58" max="58"/>
    <col width="30" customWidth="1" min="59" max="59"/>
  </cols>
  <sheetData>
    <row r="1">
      <c r="A1" s="1" t="inlineStr">
        <is>
          <t>Near misses and borderline cases — never budget-compliant</t>
        </is>
      </c>
    </row>
    <row r="2">
      <c r="A2" s="13" t="inlineStr">
        <is>
          <t>Generated 2026-09-24T20:49:33-05:00 · FX 1 USD = S/ 3.385 (BCRP live)</t>
        </is>
      </c>
    </row>
    <row r="4" ht="30" customHeight="1">
      <c r="A4" s="3" t="inlineStr">
        <is>
          <t>Rank</t>
        </is>
      </c>
      <c r="B4" s="3" t="inlineStr">
        <is>
          <t>Fit Score</t>
        </is>
      </c>
      <c r="C4" s="3" t="inlineStr">
        <is>
          <t>Property</t>
        </is>
      </c>
      <c r="D4" s="3" t="inlineStr">
        <is>
          <t>Category</t>
        </is>
      </c>
      <c r="E4" s="3" t="inlineStr">
        <is>
          <t>Why in this sheet</t>
        </is>
      </c>
      <c r="F4" s="3" t="inlineStr">
        <is>
          <t>Monthly Rent USD</t>
        </is>
      </c>
      <c r="G4" s="3" t="inlineStr">
        <is>
          <t>Rent as published</t>
        </is>
      </c>
      <c r="H4" s="3" t="inlineStr">
        <is>
          <t>Rent USD basis</t>
        </is>
      </c>
      <c r="I4" s="3" t="inlineStr">
        <is>
          <t>Rent PEN</t>
        </is>
      </c>
      <c r="J4" s="3" t="inlineStr">
        <is>
          <t>Maintenance</t>
        </is>
      </c>
      <c r="K4" s="3" t="inlineStr">
        <is>
          <t>Maintenance basis</t>
        </is>
      </c>
      <c r="L4" s="3" t="inlineStr">
        <is>
          <t>Estimated Total USD</t>
        </is>
      </c>
      <c r="M4" s="3" t="inlineStr">
        <is>
          <t>Budget Class</t>
        </is>
      </c>
      <c r="N4" s="3" t="inlineStr">
        <is>
          <t>Budget note</t>
        </is>
      </c>
      <c r="O4" s="3" t="inlineStr">
        <is>
          <t>Bedrooms</t>
        </is>
      </c>
      <c r="P4" s="3" t="inlineStr">
        <is>
          <t>Bathrooms</t>
        </is>
      </c>
      <c r="Q4" s="3" t="inlineStr">
        <is>
          <t>Area m²</t>
        </is>
      </c>
      <c r="R4" s="3" t="inlineStr">
        <is>
          <t>Area basis</t>
        </is>
      </c>
      <c r="S4" s="3" t="inlineStr">
        <is>
          <t>Space band</t>
        </is>
      </c>
      <c r="T4" s="3" t="inlineStr">
        <is>
          <t>USD/m²</t>
        </is>
      </c>
      <c r="U4" s="3" t="inlineStr">
        <is>
          <t>Value band</t>
        </is>
      </c>
      <c r="V4" s="3" t="inlineStr">
        <is>
          <t>Furnished</t>
        </is>
      </c>
      <c r="W4" s="3" t="inlineStr">
        <is>
          <t>Parking</t>
        </is>
      </c>
      <c r="X4" s="3" t="inlineStr">
        <is>
          <t>Floor</t>
        </is>
      </c>
      <c r="Y4" s="3" t="inlineStr">
        <is>
          <t>Balcony/Terrace</t>
        </is>
      </c>
      <c r="Z4" s="3" t="inlineStr">
        <is>
          <t>Laundry</t>
        </is>
      </c>
      <c r="AA4" s="3" t="inlineStr">
        <is>
          <t>Elevator</t>
        </is>
      </c>
      <c r="AB4" s="3" t="inlineStr">
        <is>
          <t>Security</t>
        </is>
      </c>
      <c r="AC4" s="3" t="inlineStr">
        <is>
          <t>Pets</t>
        </is>
      </c>
      <c r="AD4" s="3" t="inlineStr">
        <is>
          <t>Interior view</t>
        </is>
      </c>
      <c r="AE4" s="3" t="inlineStr">
        <is>
          <t>Noise Risk</t>
        </is>
      </c>
      <c r="AF4" s="3" t="inlineStr">
        <is>
          <t>Quietness Score</t>
        </is>
      </c>
      <c r="AG4" s="3" t="inlineStr">
        <is>
          <t>Quietness evidence</t>
        </is>
      </c>
      <c r="AH4" s="3" t="inlineStr">
        <is>
          <t>Nearest major road (m)</t>
        </is>
      </c>
      <c r="AI4" s="3" t="inlineStr">
        <is>
          <t>Nearest nightclub (m)</t>
        </is>
      </c>
      <c r="AJ4" s="3" t="inlineStr">
        <is>
          <t>Bars ≤150 m</t>
        </is>
      </c>
      <c r="AK4" s="3" t="inlineStr">
        <is>
          <t>Daily needs nearby</t>
        </is>
      </c>
      <c r="AL4" s="3" t="inlineStr">
        <is>
          <t>Contract</t>
        </is>
      </c>
      <c r="AM4" s="3" t="inlineStr">
        <is>
          <t>Deposit</t>
        </is>
      </c>
      <c r="AN4" s="3" t="inlineStr">
        <is>
          <t>Utilities included</t>
        </is>
      </c>
      <c r="AO4" s="3" t="inlineStr">
        <is>
          <t>Published</t>
        </is>
      </c>
      <c r="AP4" s="3" t="inlineStr">
        <is>
          <t>Active status</t>
        </is>
      </c>
      <c r="AQ4" s="3" t="inlineStr">
        <is>
          <t>Main Advantage</t>
        </is>
      </c>
      <c r="AR4" s="3" t="inlineStr">
        <is>
          <t>Main Drawback</t>
        </is>
      </c>
      <c r="AS4" s="3" t="inlineStr">
        <is>
          <t>Red flags</t>
        </is>
      </c>
      <c r="AT4" s="3" t="inlineStr">
        <is>
          <t>Foreign Tenant</t>
        </is>
      </c>
      <c r="AU4" s="3" t="inlineStr">
        <is>
          <t>Foreign-tenant evidence</t>
        </is>
      </c>
      <c r="AV4" s="3" t="inlineStr">
        <is>
          <t>Agency / agent</t>
        </is>
      </c>
      <c r="AW4" s="3" t="inlineStr">
        <is>
          <t>Phone</t>
        </is>
      </c>
      <c r="AX4" s="3" t="inlineStr">
        <is>
          <t>Source</t>
        </is>
      </c>
      <c r="AY4" s="3" t="inlineStr">
        <is>
          <t># Sources</t>
        </is>
      </c>
      <c r="AZ4" s="3" t="inlineStr">
        <is>
          <t>Duplicate group</t>
        </is>
      </c>
      <c r="BA4" s="3" t="inlineStr">
        <is>
          <t>Duplicate conflicts</t>
        </is>
      </c>
      <c r="BB4" s="3" t="inlineStr">
        <is>
          <t>View Listing</t>
        </is>
      </c>
      <c r="BC4" s="3" t="inlineStr">
        <is>
          <t>WhatsApp</t>
        </is>
      </c>
      <c r="BD4" s="3" t="inlineStr">
        <is>
          <t>Map</t>
        </is>
      </c>
      <c r="BE4" s="3" t="inlineStr">
        <is>
          <t>Location source</t>
        </is>
      </c>
      <c r="BF4" s="3" t="inlineStr">
        <is>
          <t>QA Status</t>
        </is>
      </c>
      <c r="BG4" s="3" t="inlineStr">
        <is>
          <t>QA notes</t>
        </is>
      </c>
    </row>
    <row r="5">
      <c r="A5" s="4" t="n">
        <v>1</v>
      </c>
      <c r="B5" s="14" t="n">
        <v>56.5</v>
      </c>
      <c r="C5" s="5" t="inlineStr">
        <is>
          <t>1BR · 93 m² — Miraflores · ID 150439988</t>
        </is>
      </c>
      <c r="D5" s="11" t="inlineStr">
        <is>
          <t>BORDERLINE</t>
        </is>
      </c>
      <c r="E5" s="5" t="inlineStr">
        <is>
          <t>BORDERLINE: normalised rent USD 1,104.87 is 0.4% above the USD 1,100 stretch ceiling — not budget-compliant</t>
        </is>
      </c>
      <c r="F5" s="6" t="n">
        <v>1104.87</v>
      </c>
      <c r="G5" s="11" t="inlineStr">
        <is>
          <t>PEN 3,740</t>
        </is>
      </c>
      <c r="H5" s="11" t="inlineStr">
        <is>
          <t>CALCULATED</t>
        </is>
      </c>
      <c r="I5" s="15" t="n">
        <v>3740</v>
      </c>
      <c r="J5" s="5" t="inlineStr">
        <is>
          <t>S/ 350 (≈ USD 103)</t>
        </is>
      </c>
      <c r="K5" s="11" t="inlineStr">
        <is>
          <t>PUBLISHED</t>
        </is>
      </c>
      <c r="L5" s="6" t="n">
        <v>1208.27</v>
      </c>
      <c r="M5" s="11" t="inlineStr">
        <is>
          <t>BORDERLINE</t>
        </is>
      </c>
      <c r="N5" s="5" t="inlineStr">
        <is>
          <t>normalised rent USD 1,104.87 is 0.4% above the USD 1,100 stretch ceiling — not budget-compliant</t>
        </is>
      </c>
      <c r="O5" s="4" t="n">
        <v>1</v>
      </c>
      <c r="P5" s="16" t="n">
        <v>1</v>
      </c>
      <c r="Q5" s="4" t="n">
        <v>93</v>
      </c>
      <c r="R5" s="11" t="inlineStr">
        <is>
          <t>total</t>
        </is>
      </c>
      <c r="S5" s="5" t="inlineStr">
        <is>
          <t>VERY_SPACIOUS</t>
        </is>
      </c>
      <c r="T5" s="14" t="n">
        <v>11.88</v>
      </c>
      <c r="U5" s="11" t="inlineStr">
        <is>
          <t>INSUFFICIENT_DATA</t>
        </is>
      </c>
      <c r="V5" s="11" t="inlineStr">
        <is>
          <t>Yes</t>
        </is>
      </c>
      <c r="W5" s="11" t="inlineStr">
        <is>
          <t>Yes</t>
        </is>
      </c>
      <c r="X5" s="11" t="n">
        <v>2</v>
      </c>
      <c r="Y5" s="11" t="inlineStr">
        <is>
          <t>Yes</t>
        </is>
      </c>
      <c r="Z5" s="11" t="inlineStr">
        <is>
          <t>Yes</t>
        </is>
      </c>
      <c r="AA5" s="11" t="inlineStr">
        <is>
          <t>Yes</t>
        </is>
      </c>
      <c r="AB5" s="11" t="inlineStr">
        <is>
          <t>Yes</t>
        </is>
      </c>
      <c r="AC5" s="11" t="inlineStr">
        <is>
          <t>No</t>
        </is>
      </c>
      <c r="AD5" s="11" t="inlineStr">
        <is>
          <t>UNKNOWN</t>
        </is>
      </c>
      <c r="AE5" s="5" t="inlineStr">
        <is>
          <t>NOISE UNCERTAIN · MEDIUM risk · low confidence</t>
        </is>
      </c>
      <c r="AF5" s="4" t="n">
        <v>52</v>
      </c>
      <c r="AG5" s="5" t="inlineStr">
        <is>
          <t>No usable coordinates — text evidence only; seller describes the street as quiet (unverified claim). Quietness estimate: low confidence.</t>
        </is>
      </c>
      <c r="AH5" s="11" t="inlineStr">
        <is>
          <t>UNKNOWN</t>
        </is>
      </c>
      <c r="AI5" s="11" t="inlineStr">
        <is>
          <t>UNKNOWN</t>
        </is>
      </c>
      <c r="AJ5" s="11" t="inlineStr">
        <is>
          <t>UNKNOWN</t>
        </is>
      </c>
      <c r="AK5" s="5" t="inlineStr">
        <is>
          <t>location data unavailable (neutral score)</t>
        </is>
      </c>
      <c r="AL5" s="11" t="inlineStr">
        <is>
          <t>UNKNOWN</t>
        </is>
      </c>
      <c r="AM5" s="11" t="inlineStr">
        <is>
          <t>UNKNOWN</t>
        </is>
      </c>
      <c r="AN5" s="11" t="inlineStr">
        <is>
          <t>UNKNOWN</t>
        </is>
      </c>
      <c r="AO5" s="11" t="inlineStr">
        <is>
          <t>UNKNOWN</t>
        </is>
      </c>
      <c r="AP5" s="11" t="inlineStr">
        <is>
          <t>LIKELY_ACTIVE</t>
        </is>
      </c>
      <c r="AQ5" s="5" t="inlineStr">
        <is>
          <t>93 m² area — very spacious for a 1-bedroom; furnished; building security/controlled access</t>
        </is>
      </c>
      <c r="AR5" s="5" t="inlineStr">
        <is>
          <t>rent + maintenance ≈ USD 1,208 (USD 1,105 rent + S/ 350 maintenance) exceeds USD 1,000</t>
        </is>
      </c>
      <c r="AS5" s="5" t="inlineStr">
        <is>
          <t>BORDERLINE_OVER_STRETCH; INCOMPLETE_ADDRESS; INCOMPLETE_CONTACT; NO_COORDINATES; NO_PUBLICATION_DATE; PRICE_CONVERTED_FROM_PEN; PRICE_OVER_BUDGET; TOTAL_COST_OVER_BUDGET</t>
        </is>
      </c>
      <c r="AT5" s="11" t="inlineStr">
        <is>
          <t>UNKNOWN</t>
        </is>
      </c>
      <c r="AU5" s="11" t="inlineStr">
        <is>
          <t>furnished</t>
        </is>
      </c>
      <c r="AV5" s="11" t="inlineStr">
        <is>
          <t>UNKNOWN</t>
        </is>
      </c>
      <c r="AW5" s="11" t="inlineStr">
        <is>
          <t>UNKNOWN</t>
        </is>
      </c>
      <c r="AX5" s="5" t="inlineStr">
        <is>
          <t>Adondevivir + Urbania</t>
        </is>
      </c>
      <c r="AY5" s="4" t="n">
        <v>2</v>
      </c>
      <c r="AZ5" s="11" t="inlineStr">
        <is>
          <t>G0004</t>
        </is>
      </c>
      <c r="BA5" s="11" t="inlineStr"/>
      <c r="BB5" s="9" t="inlineStr">
        <is>
          <t>View listing</t>
        </is>
      </c>
      <c r="BC5" s="11" t="inlineStr">
        <is>
          <t>—</t>
        </is>
      </c>
      <c r="BD5" s="11" t="inlineStr">
        <is>
          <t>—</t>
        </is>
      </c>
      <c r="BE5" s="11" t="inlineStr">
        <is>
          <t>none / -</t>
        </is>
      </c>
      <c r="BF5" s="11" t="inlineStr">
        <is>
          <t>PROGRAMMATIC_WARN</t>
        </is>
      </c>
      <c r="BG5" s="11" t="inlineStr">
        <is>
          <t>no contact channel</t>
        </is>
      </c>
    </row>
  </sheetData>
  <autoFilter ref="A4:BG5"/>
  <conditionalFormatting sqref="A5:BG5">
    <cfRule type="cellIs" priority="1" operator="equal" dxfId="0">
      <formula>"UNKNOWN"</formula>
    </cfRule>
    <cfRule type="expression" priority="11" dxfId="2">
      <formula>MOD(ROW(),2)=0</formula>
    </cfRule>
  </conditionalFormatting>
  <conditionalFormatting sqref="AE5">
    <cfRule type="expression" priority="2" dxfId="3" stopIfTrue="1">
      <formula>LEFT(AE5,12)="LIKELY QUIET"</formula>
    </cfRule>
    <cfRule type="expression" priority="3" dxfId="4" stopIfTrue="1">
      <formula>LEFT(AE5,14)="POSSIBLY QUIET"</formula>
    </cfRule>
    <cfRule type="expression" priority="4" dxfId="5" stopIfTrue="1">
      <formula>LEFT(AE5,15)="NOISE UNCERTAIN"</formula>
    </cfRule>
    <cfRule type="expression" priority="5" dxfId="6" stopIfTrue="1">
      <formula>LEFT(AE5,12)="LIKELY NOISY"</formula>
    </cfRule>
  </conditionalFormatting>
  <conditionalFormatting sqref="L5">
    <cfRule type="cellIs" priority="6" operator="greaterThan" dxfId="7" stopIfTrue="1">
      <formula>1000</formula>
    </cfRule>
  </conditionalFormatting>
  <conditionalFormatting sqref="F5">
    <cfRule type="cellIs" priority="7" operator="greaterThan" dxfId="7" stopIfTrue="1">
      <formula>1000</formula>
    </cfRule>
  </conditionalFormatting>
  <conditionalFormatting sqref="M5">
    <cfRule type="expression" priority="8" dxfId="3" stopIfTrue="1">
      <formula>M5="STRICT_ALL_IN"</formula>
    </cfRule>
    <cfRule type="expression" priority="9" dxfId="8" stopIfTrue="1">
      <formula>M5="BASE_RENT_COMPLIANT"</formula>
    </cfRule>
  </conditionalFormatting>
  <conditionalFormatting sqref="B5">
    <cfRule type="cellIs" priority="10" operator="greaterThanOrEqual" dxfId="9">
      <formula>75</formula>
    </cfRule>
  </conditionalFormatting>
  <hyperlinks>
    <hyperlink xmlns:r="http://schemas.openxmlformats.org/officeDocument/2006/relationships" ref="BB5" r:id="rId1"/>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6"/>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26" customWidth="1" min="3" max="3"/>
    <col width="40" customWidth="1" min="4" max="4"/>
    <col width="10" customWidth="1" min="5" max="5"/>
    <col width="18" customWidth="1" min="6" max="6"/>
    <col width="14" customWidth="1" min="7" max="7"/>
    <col width="14" customWidth="1" min="8" max="8"/>
    <col width="16" customWidth="1" min="9" max="9"/>
    <col width="14" customWidth="1" min="10" max="10"/>
    <col width="14" customWidth="1" min="11" max="11"/>
    <col width="14" customWidth="1" min="12" max="12"/>
    <col width="14" customWidth="1" min="13" max="13"/>
    <col width="60" customWidth="1" min="14" max="14"/>
  </cols>
  <sheetData>
    <row r="1">
      <c r="A1" s="1" t="inlineStr">
        <is>
          <t>Source audit</t>
        </is>
      </c>
    </row>
    <row r="2">
      <c r="A2" s="13" t="inlineStr">
        <is>
          <t>Generated 2026-09-24T20:49:33-05:00 · FX 1 USD = S/ 3.385 (BCRP live)</t>
        </is>
      </c>
    </row>
    <row r="4" ht="30" customHeight="1">
      <c r="A4" s="3" t="inlineStr">
        <is>
          <t>Source</t>
        </is>
      </c>
      <c r="B4" s="3" t="inlineStr">
        <is>
          <t>Status</t>
        </is>
      </c>
      <c r="C4" s="3" t="inlineStr">
        <is>
          <t>Method</t>
        </is>
      </c>
      <c r="D4" s="3" t="inlineStr">
        <is>
          <t>Target search URL</t>
        </is>
      </c>
      <c r="E4" s="3" t="inlineStr">
        <is>
          <t>Records collected</t>
        </is>
      </c>
      <c r="F4" s="3" t="inlineStr">
        <is>
          <t>Public access</t>
        </is>
      </c>
      <c r="G4" s="3" t="inlineStr">
        <is>
          <t>Pagination</t>
        </is>
      </c>
      <c r="H4" s="3" t="inlineStr">
        <is>
          <t>Detail pages</t>
        </is>
      </c>
      <c r="I4" s="3" t="inlineStr">
        <is>
          <t>Contact data</t>
        </is>
      </c>
      <c r="J4" s="3" t="inlineStr">
        <is>
          <t>Coordinates</t>
        </is>
      </c>
      <c r="K4" s="3" t="inlineStr">
        <is>
          <t>Publication date</t>
        </is>
      </c>
      <c r="L4" s="3" t="inlineStr">
        <is>
          <t>Maintenance fee</t>
        </is>
      </c>
      <c r="M4" s="3" t="inlineStr">
        <is>
          <t>Completeness</t>
        </is>
      </c>
      <c r="N4" s="3" t="inlineStr">
        <is>
          <t>Limitations / errors</t>
        </is>
      </c>
    </row>
    <row r="5">
      <c r="A5" s="11" t="inlineStr">
        <is>
          <t>Urbania</t>
        </is>
      </c>
      <c r="B5" s="11" t="inlineStr">
        <is>
          <t>APPROVED</t>
        </is>
      </c>
      <c r="C5" s="5" t="inlineStr">
        <is>
          <t>Apify actor scrapers_lat/urbania-scraper (CLOUD_CREDENTIAL), one run per bedroom segment</t>
        </is>
      </c>
      <c r="D5" s="5" t="inlineStr">
        <is>
          <t>https://urbania.pe/buscar/alquiler-de-departamentos-en-miraflores--lima--lima</t>
        </is>
      </c>
      <c r="E5" s="11" t="n">
        <v>20</v>
      </c>
      <c r="F5" s="5" t="inlineStr">
        <is>
          <t>Public search and detail pages, no login</t>
        </is>
      </c>
      <c r="G5" s="5" t="inlineStr">
        <is>
          <t>Handled by actor (direct: ?page=N)</t>
        </is>
      </c>
      <c r="H5" s="5" t="inlineStr">
        <is>
          <t>Paid Apify plans only ('details' event). On the FREE plan the actor returns list-level output only — confirmed in validation (details events = 0)</t>
        </is>
      </c>
      <c r="I5" s="5" t="inlineStr">
        <is>
          <t>Detail pages only (paid plan): agentPhone / agentWhatsapp. Free plan: none — contact via listing</t>
        </is>
      </c>
      <c r="J5" s="5" t="inlineStr">
        <is>
          <t>Detail pages only (paid plan). Free plan: none — geocoded only from specific address text · observed 0%</t>
        </is>
      </c>
      <c r="K5" s="5" t="inlineStr">
        <is>
          <t>Detail pages only (paid plan: publishDate). Free plan: none · observed 0%</t>
        </is>
      </c>
      <c r="L5" s="5" t="inlineStr">
        <is>
          <t>Expected when advertiser publishes 'Mantenimiento' · observed 85%</t>
        </is>
      </c>
      <c r="M5" s="5" t="inlineStr">
        <is>
          <t>URL 100%, rent 100%, currency 100%, bedrooms 100%, area 100%, maintenance 85%, coordinates 0%, address 0%, publication date 0%, contact 0%, description 100%, images 100%</t>
        </is>
      </c>
      <c r="N5" s="5" t="inlineStr">
        <is>
          <t>no input for 'operation' in actor schema — filter re-applied after extraction; no input for 'property_type' in actor schema — filter re-applied after extraction | Navent platform uses bot protection; direct scraping not attempted beyond one polite request. Actor docs: free Apify plans are capped at 10 records per run and list-level output, so collection runs one Actor run per bedroom segment. Every filter is re-applied after extraction.</t>
        </is>
      </c>
    </row>
    <row r="6">
      <c r="A6" s="11" t="inlineStr">
        <is>
          <t>Adondevivir</t>
        </is>
      </c>
      <c r="B6" s="11" t="inlineStr">
        <is>
          <t>APPROVED</t>
        </is>
      </c>
      <c r="C6" s="5" t="inlineStr">
        <is>
          <t>Apify actor scrapers_lat/adondevivir-scraper (CLOUD_CREDENTIAL), one run per bedroom segment</t>
        </is>
      </c>
      <c r="D6" s="5" t="inlineStr">
        <is>
          <t>https://www.adondevivir.com/departamentos-en-alquiler-en-miraflores.html</t>
        </is>
      </c>
      <c r="E6" s="11" t="n">
        <v>20</v>
      </c>
      <c r="F6" s="5" t="inlineStr">
        <is>
          <t>Public search and detail pages, no login</t>
        </is>
      </c>
      <c r="G6" s="5" t="inlineStr">
        <is>
          <t>Handled by actor (direct: -pagina-N.html)</t>
        </is>
      </c>
      <c r="H6" s="5" t="inlineStr">
        <is>
          <t>Paid Apify plans only ('details' event). FREE plan: list-level output only (confirmed)</t>
        </is>
      </c>
      <c r="I6" s="5" t="inlineStr">
        <is>
          <t>Detail pages only (paid plan): agentPhone / agentWhatsapp. Free plan: none — contact via listing</t>
        </is>
      </c>
      <c r="J6" s="5" t="inlineStr">
        <is>
          <t>Detail pages only (paid plan). Free plan: none — geocoded only from specific address text · observed 0%</t>
        </is>
      </c>
      <c r="K6" s="5" t="inlineStr">
        <is>
          <t>Detail pages only (paid plan: publishedDate). Free plan: none · observed 0%</t>
        </is>
      </c>
      <c r="L6" s="5" t="inlineStr">
        <is>
          <t>Expected when published · observed 95%</t>
        </is>
      </c>
      <c r="M6" s="5" t="inlineStr">
        <is>
          <t>URL 100%, rent 100%, currency 100%, bedrooms 100%, area 100%, maintenance 95%, coordinates 0%, address 0%, publication date 0%, contact 0%, description 100%, images 100%</t>
        </is>
      </c>
      <c r="N6" s="5" t="inlineStr">
        <is>
          <t>no input for 'operation' in actor schema — filter re-applied after extraction; no input for 'property_type' in actor schema — filter re-applied after extraction | Actor docs: free Apify plans are capped at 10 listings per run, list-level only. Same backend as Urbania, so many listings are cross-posted under a different posting id — grouped by de-duplication (same photo file, advertiser, description, area, price).</t>
        </is>
      </c>
    </row>
    <row r="7">
      <c r="A7" s="5" t="inlineStr">
        <is>
          <t>Mercado Libre Inmuebles Perú</t>
        </is>
      </c>
      <c r="B7" s="11" t="inlineStr">
        <is>
          <t>REJECTED</t>
        </is>
      </c>
      <c r="C7" s="5" t="inlineStr">
        <is>
          <t>direct HTML (robots.txt respected)</t>
        </is>
      </c>
      <c r="D7" s="5" t="inlineStr">
        <is>
          <t>https://inmuebles.mercadolibre.com.pe/departamentos/alquiler/lima/miraflores/</t>
        </is>
      </c>
      <c r="E7" s="11" t="n">
        <v>0</v>
      </c>
      <c r="F7" s="5" t="inlineStr">
        <is>
          <t>Public search and detail pages; phone numbers require login (not collected)</t>
        </is>
      </c>
      <c r="G7" s="5" t="inlineStr">
        <is>
          <t>_Desde_N offsets (48/page)</t>
        </is>
      </c>
      <c r="H7" s="5" t="inlineStr">
        <is>
          <t>Yes — specs table, description, map centre</t>
        </is>
      </c>
      <c r="I7" s="5" t="inlineStr">
        <is>
          <t>Seller name only; contact through Mercado Libre</t>
        </is>
      </c>
      <c r="J7" s="5" t="inlineStr">
        <is>
          <t>Sometimes (map on detail page)</t>
        </is>
      </c>
      <c r="K7" s="5" t="inlineStr">
        <is>
          <t>Relative 'Publicado hace…' on detail page</t>
        </is>
      </c>
      <c r="L7" s="5" t="inlineStr">
        <is>
          <t>Sometimes (spec 'Mantenimiento' / 'Gastos comunes')</t>
        </is>
      </c>
      <c r="M7" s="5" t="inlineStr">
        <is>
          <t>not measured (no records)</t>
        </is>
      </c>
      <c r="N7" s="5" t="inlineStr">
        <is>
          <t>AccessBlocked: inmuebles.mercadolibre.com.pe returned HTTP 200 with a bot challenge — not bypassed | Page layout changes periodically; parser supports current poly-card and legacy layouts. Reference repo rejected: no licence ('Private'), targets Mexico (MLM), relies on webdriver masking, UA rotation and residential proxy rotation.</t>
        </is>
      </c>
    </row>
    <row r="8">
      <c r="A8" s="5" t="inlineStr">
        <is>
          <t>Manual import (agency sites, other portals)</t>
        </is>
      </c>
      <c r="B8" s="11" t="inlineStr">
        <is>
          <t>SKIPPED</t>
        </is>
      </c>
      <c r="C8" s="5" t="inlineStr">
        <is>
          <t>file import from /home/user/departamento/data/manual</t>
        </is>
      </c>
      <c r="D8" s="11" t="inlineStr">
        <is>
          <t>n/a</t>
        </is>
      </c>
      <c r="E8" s="11" t="n">
        <v>0</v>
      </c>
      <c r="F8" s="11" t="inlineStr">
        <is>
          <t>n/a</t>
        </is>
      </c>
      <c r="G8" s="11" t="inlineStr">
        <is>
          <t>n/a</t>
        </is>
      </c>
      <c r="H8" s="11" t="inlineStr">
        <is>
          <t>n/a</t>
        </is>
      </c>
      <c r="I8" s="11" t="inlineStr">
        <is>
          <t>as entered</t>
        </is>
      </c>
      <c r="J8" s="11" t="inlineStr">
        <is>
          <t>as entered</t>
        </is>
      </c>
      <c r="K8" s="11" t="inlineStr">
        <is>
          <t>as entered</t>
        </is>
      </c>
      <c r="L8" s="11" t="inlineStr">
        <is>
          <t>as entered</t>
        </is>
      </c>
      <c r="M8" s="5" t="inlineStr">
        <is>
          <t>not measured (no records)</t>
        </is>
      </c>
      <c r="N8" s="5" t="inlineStr">
        <is>
          <t>no manual files present | Only as good as the manual capture; active status UNKNOWN unless re-checked.</t>
        </is>
      </c>
    </row>
    <row r="9">
      <c r="A9" s="11" t="inlineStr">
        <is>
          <t>Properati Perú</t>
        </is>
      </c>
      <c r="B9" s="5" t="inlineStr">
        <is>
          <t>PENDING (not automated this iteration)</t>
        </is>
      </c>
      <c r="C9" s="5" t="inlineStr">
        <is>
          <t>not automated — use manual import</t>
        </is>
      </c>
      <c r="D9" s="5" t="inlineStr">
        <is>
          <t>https://www.properati.com.pe/s/miraflores/departamento/alquiler</t>
        </is>
      </c>
      <c r="E9" s="11" t="n">
        <v>0</v>
      </c>
      <c r="F9" s="5" t="inlineStr">
        <is>
          <t>public (search index)</t>
        </is>
      </c>
      <c r="G9" s="11" t="inlineStr">
        <is>
          <t>not tested</t>
        </is>
      </c>
      <c r="H9" s="11" t="inlineStr">
        <is>
          <t>not tested</t>
        </is>
      </c>
      <c r="I9" s="11" t="inlineStr">
        <is>
          <t>not tested</t>
        </is>
      </c>
      <c r="J9" s="11" t="inlineStr">
        <is>
          <t>not tested</t>
        </is>
      </c>
      <c r="K9" s="11" t="inlineStr">
        <is>
          <t>not tested</t>
        </is>
      </c>
      <c r="L9" s="11" t="inlineStr">
        <is>
          <t>not tested</t>
        </is>
      </c>
      <c r="M9" s="11" t="inlineStr">
        <is>
          <t>not measured</t>
        </is>
      </c>
      <c r="N9" s="5" t="inlineStr">
        <is>
          <t>Search index: 294 Miraflores rentals; 75 furnished; 137 with 2 bedrooms | could not be opened from this environment (egress policy); verify before relying on it</t>
        </is>
      </c>
    </row>
    <row r="10">
      <c r="A10" s="11" t="inlineStr">
        <is>
          <t>FazWaz Perú</t>
        </is>
      </c>
      <c r="B10" s="5" t="inlineStr">
        <is>
          <t>PENDING (not automated this iteration)</t>
        </is>
      </c>
      <c r="C10" s="5" t="inlineStr">
        <is>
          <t>not automated — use manual import</t>
        </is>
      </c>
      <c r="D10" s="5" t="inlineStr">
        <is>
          <t>https://www.fazwaz.com.pe/departamento-en-alquiler/peru/lima/lima/miraflores</t>
        </is>
      </c>
      <c r="E10" s="11" t="n">
        <v>0</v>
      </c>
      <c r="F10" s="5" t="inlineStr">
        <is>
          <t>public (search index)</t>
        </is>
      </c>
      <c r="G10" s="11" t="inlineStr">
        <is>
          <t>not tested</t>
        </is>
      </c>
      <c r="H10" s="11" t="inlineStr">
        <is>
          <t>not tested</t>
        </is>
      </c>
      <c r="I10" s="11" t="inlineStr">
        <is>
          <t>not tested</t>
        </is>
      </c>
      <c r="J10" s="11" t="inlineStr">
        <is>
          <t>not tested</t>
        </is>
      </c>
      <c r="K10" s="11" t="inlineStr">
        <is>
          <t>not tested</t>
        </is>
      </c>
      <c r="L10" s="11" t="inlineStr">
        <is>
          <t>not tested</t>
        </is>
      </c>
      <c r="M10" s="11" t="inlineStr">
        <is>
          <t>not measured</t>
        </is>
      </c>
      <c r="N10" s="5" t="inlineStr">
        <is>
          <t>Search index: 437 rental listings in Miraflores; English-friendly (relevant for foreign tenants) | could not be opened from this environment (egress policy); verify before relying on it</t>
        </is>
      </c>
    </row>
    <row r="11">
      <c r="A11" s="11" t="inlineStr">
        <is>
          <t>Ubicasa</t>
        </is>
      </c>
      <c r="B11" s="5" t="inlineStr">
        <is>
          <t>PENDING (not automated this iteration)</t>
        </is>
      </c>
      <c r="C11" s="5" t="inlineStr">
        <is>
          <t>not automated — use manual import</t>
        </is>
      </c>
      <c r="D11" s="5" t="inlineStr">
        <is>
          <t>https://ubicasa.pe/alquiler/departamento/miraflores-lima-lima</t>
        </is>
      </c>
      <c r="E11" s="11" t="n">
        <v>0</v>
      </c>
      <c r="F11" s="5" t="inlineStr">
        <is>
          <t>public (search index)</t>
        </is>
      </c>
      <c r="G11" s="11" t="inlineStr">
        <is>
          <t>not tested</t>
        </is>
      </c>
      <c r="H11" s="11" t="inlineStr">
        <is>
          <t>not tested</t>
        </is>
      </c>
      <c r="I11" s="11" t="inlineStr">
        <is>
          <t>not tested</t>
        </is>
      </c>
      <c r="J11" s="11" t="inlineStr">
        <is>
          <t>not tested</t>
        </is>
      </c>
      <c r="K11" s="11" t="inlineStr">
        <is>
          <t>not tested</t>
        </is>
      </c>
      <c r="L11" s="11" t="inlineStr">
        <is>
          <t>not tested</t>
        </is>
      </c>
      <c r="M11" s="11" t="inlineStr">
        <is>
          <t>not measured</t>
        </is>
      </c>
      <c r="N11" s="5" t="inlineStr">
        <is>
          <t>Search index: 651 apartments; advertises exact map location and PEN/USD prices | could not be opened from this environment (egress policy); verify before relying on it</t>
        </is>
      </c>
    </row>
    <row r="12">
      <c r="A12" s="11" t="inlineStr">
        <is>
          <t>LaEncontre</t>
        </is>
      </c>
      <c r="B12" s="5" t="inlineStr">
        <is>
          <t>PENDING (not automated this iteration)</t>
        </is>
      </c>
      <c r="C12" s="5" t="inlineStr">
        <is>
          <t>not automated — use manual import</t>
        </is>
      </c>
      <c r="D12" s="5" t="inlineStr">
        <is>
          <t>https://www.laencontre.com.pe/alquiler/departamentos/lima/miraflores</t>
        </is>
      </c>
      <c r="E12" s="11" t="n">
        <v>0</v>
      </c>
      <c r="F12" s="5" t="inlineStr">
        <is>
          <t>public (search index)</t>
        </is>
      </c>
      <c r="G12" s="11" t="inlineStr">
        <is>
          <t>not tested</t>
        </is>
      </c>
      <c r="H12" s="11" t="inlineStr">
        <is>
          <t>not tested</t>
        </is>
      </c>
      <c r="I12" s="11" t="inlineStr">
        <is>
          <t>not tested</t>
        </is>
      </c>
      <c r="J12" s="11" t="inlineStr">
        <is>
          <t>not tested</t>
        </is>
      </c>
      <c r="K12" s="11" t="inlineStr">
        <is>
          <t>not tested</t>
        </is>
      </c>
      <c r="L12" s="11" t="inlineStr">
        <is>
          <t>not tested</t>
        </is>
      </c>
      <c r="M12" s="11" t="inlineStr">
        <is>
          <t>not measured</t>
        </is>
      </c>
      <c r="N12" s="5" t="inlineStr">
        <is>
          <t>Search index: 293 apartments in Miraflores | could not be opened from this environment (egress policy); verify before relying on it</t>
        </is>
      </c>
    </row>
    <row r="13">
      <c r="A13" s="11" t="inlineStr">
        <is>
          <t>Babilonia</t>
        </is>
      </c>
      <c r="B13" s="5" t="inlineStr">
        <is>
          <t>PENDING (not automated this iteration)</t>
        </is>
      </c>
      <c r="C13" s="5" t="inlineStr">
        <is>
          <t>not automated — use manual import</t>
        </is>
      </c>
      <c r="D13" s="5" t="inlineStr">
        <is>
          <t>https://babilonia.pe/inmuebles/departamentos-en-alquiler-en-lima-lima-miraflores</t>
        </is>
      </c>
      <c r="E13" s="11" t="n">
        <v>0</v>
      </c>
      <c r="F13" s="5" t="inlineStr">
        <is>
          <t>public (search index)</t>
        </is>
      </c>
      <c r="G13" s="11" t="inlineStr">
        <is>
          <t>not tested</t>
        </is>
      </c>
      <c r="H13" s="11" t="inlineStr">
        <is>
          <t>not tested</t>
        </is>
      </c>
      <c r="I13" s="11" t="inlineStr">
        <is>
          <t>not tested</t>
        </is>
      </c>
      <c r="J13" s="11" t="inlineStr">
        <is>
          <t>not tested</t>
        </is>
      </c>
      <c r="K13" s="11" t="inlineStr">
        <is>
          <t>not tested</t>
        </is>
      </c>
      <c r="L13" s="11" t="inlineStr">
        <is>
          <t>not tested</t>
        </is>
      </c>
      <c r="M13" s="11" t="inlineStr">
        <is>
          <t>not measured</t>
        </is>
      </c>
      <c r="N13" s="5" t="inlineStr">
        <is>
          <t>Peruvian portal; count not visible in index | could not be opened from this environment (egress policy); verify before relying on it</t>
        </is>
      </c>
    </row>
    <row r="14">
      <c r="A14" s="11" t="inlineStr">
        <is>
          <t>InfoCasas Perú</t>
        </is>
      </c>
      <c r="B14" s="5" t="inlineStr">
        <is>
          <t>PENDING (not automated this iteration)</t>
        </is>
      </c>
      <c r="C14" s="5" t="inlineStr">
        <is>
          <t>not automated — use manual import</t>
        </is>
      </c>
      <c r="D14" s="5" t="inlineStr">
        <is>
          <t>https://www.infocasas.com.pe/alquiler/departamentos/lima/miraflores/1-dormitorio</t>
        </is>
      </c>
      <c r="E14" s="11" t="n">
        <v>0</v>
      </c>
      <c r="F14" s="5" t="inlineStr">
        <is>
          <t>public (search index)</t>
        </is>
      </c>
      <c r="G14" s="11" t="inlineStr">
        <is>
          <t>not tested</t>
        </is>
      </c>
      <c r="H14" s="11" t="inlineStr">
        <is>
          <t>not tested</t>
        </is>
      </c>
      <c r="I14" s="11" t="inlineStr">
        <is>
          <t>not tested</t>
        </is>
      </c>
      <c r="J14" s="11" t="inlineStr">
        <is>
          <t>not tested</t>
        </is>
      </c>
      <c r="K14" s="11" t="inlineStr">
        <is>
          <t>not tested</t>
        </is>
      </c>
      <c r="L14" s="11" t="inlineStr">
        <is>
          <t>not tested</t>
        </is>
      </c>
      <c r="M14" s="11" t="inlineStr">
        <is>
          <t>not measured</t>
        </is>
      </c>
      <c r="N14" s="5" t="inlineStr">
        <is>
          <t>Has 1-bedroom Miraflores filter page | could not be opened from this environment (egress policy); verify before relying on it</t>
        </is>
      </c>
    </row>
    <row r="15">
      <c r="A15" s="11" t="inlineStr">
        <is>
          <t>RE/MAX Perú</t>
        </is>
      </c>
      <c r="B15" s="5" t="inlineStr">
        <is>
          <t>PENDING (not automated this iteration)</t>
        </is>
      </c>
      <c r="C15" s="5" t="inlineStr">
        <is>
          <t>not automated — use manual import</t>
        </is>
      </c>
      <c r="D15" s="5" t="inlineStr">
        <is>
          <t>https://www.remax.pe/departamentos-en+alquiler-miraflores-dist/</t>
        </is>
      </c>
      <c r="E15" s="11" t="n">
        <v>0</v>
      </c>
      <c r="F15" s="5" t="inlineStr">
        <is>
          <t>public (search index)</t>
        </is>
      </c>
      <c r="G15" s="11" t="inlineStr">
        <is>
          <t>not tested</t>
        </is>
      </c>
      <c r="H15" s="11" t="inlineStr">
        <is>
          <t>not tested</t>
        </is>
      </c>
      <c r="I15" s="11" t="inlineStr">
        <is>
          <t>not tested</t>
        </is>
      </c>
      <c r="J15" s="11" t="inlineStr">
        <is>
          <t>not tested</t>
        </is>
      </c>
      <c r="K15" s="11" t="inlineStr">
        <is>
          <t>not tested</t>
        </is>
      </c>
      <c r="L15" s="11" t="inlineStr">
        <is>
          <t>not tested</t>
        </is>
      </c>
      <c r="M15" s="11" t="inlineStr">
        <is>
          <t>not measured</t>
        </is>
      </c>
      <c r="N15" s="5" t="inlineStr">
        <is>
          <t>Agency network listings; often cross-posted to Urbania/Adondevivir | could not be opened from this environment (egress policy); verify before relying on it</t>
        </is>
      </c>
    </row>
    <row r="16">
      <c r="A16" s="11" t="inlineStr">
        <is>
          <t>Mitula Casas</t>
        </is>
      </c>
      <c r="B16" s="5" t="inlineStr">
        <is>
          <t>PENDING (not automated this iteration)</t>
        </is>
      </c>
      <c r="C16" s="5" t="inlineStr">
        <is>
          <t>not automated — use manual import</t>
        </is>
      </c>
      <c r="D16" s="5" t="inlineStr">
        <is>
          <t>https://casas.mitula.pe/casas/alquiler-departamentos-lima-miraflores</t>
        </is>
      </c>
      <c r="E16" s="11" t="n">
        <v>0</v>
      </c>
      <c r="F16" s="5" t="inlineStr">
        <is>
          <t>public (search index)</t>
        </is>
      </c>
      <c r="G16" s="11" t="inlineStr">
        <is>
          <t>not tested</t>
        </is>
      </c>
      <c r="H16" s="11" t="inlineStr">
        <is>
          <t>not tested</t>
        </is>
      </c>
      <c r="I16" s="11" t="inlineStr">
        <is>
          <t>not tested</t>
        </is>
      </c>
      <c r="J16" s="11" t="inlineStr">
        <is>
          <t>not tested</t>
        </is>
      </c>
      <c r="K16" s="11" t="inlineStr">
        <is>
          <t>not tested</t>
        </is>
      </c>
      <c r="L16" s="11" t="inlineStr">
        <is>
          <t>not tested</t>
        </is>
      </c>
      <c r="M16" s="11" t="inlineStr">
        <is>
          <t>not measured</t>
        </is>
      </c>
      <c r="N16" s="5" t="inlineStr">
        <is>
          <t>Aggregator of other portals — mostly duplicates; low marginal value | could not be opened from this environment (egress policy); verify before relying on it</t>
        </is>
      </c>
    </row>
  </sheetData>
  <autoFilter ref="A4:N16"/>
  <conditionalFormatting sqref="A5:N16">
    <cfRule type="cellIs" priority="1" operator="equal" dxfId="0">
      <formula>"UNKNOWN"</formula>
    </cfRule>
    <cfRule type="expression" priority="2" dxfId="2">
      <formula>MOD(ROW(),2)=0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8" customWidth="1" min="1" max="1"/>
    <col width="120" customWidth="1" min="2" max="2"/>
  </cols>
  <sheetData>
    <row r="1">
      <c r="A1" s="1" t="inlineStr">
        <is>
          <t>Methodology, scoring and limitations</t>
        </is>
      </c>
    </row>
    <row r="2">
      <c r="A2" s="13" t="inlineStr">
        <is>
          <t>Generated 2026-09-24T20:49:33-05:00 · FX 1 USD = S/ 3.385 (BCRP live)</t>
        </is>
      </c>
    </row>
    <row r="5">
      <c r="A5" s="17" t="inlineStr">
        <is>
          <t>Objective</t>
        </is>
      </c>
      <c r="B5" s="5" t="inlineStr">
        <is>
          <t>Find the strongest currently advertised 1–2 bedroom rentals inside Miraflores (Lima) for a couple, at or below USD 1,000/month, prioritising quiet and usable space.</t>
        </is>
      </c>
    </row>
    <row r="6">
      <c r="A6" s="17" t="inlineStr">
        <is>
          <t>Hard requirements</t>
        </is>
      </c>
      <c r="B6" s="5" t="inlineStr">
        <is>
          <t>Miraflores only · rent (not sale) · apartment · 1–2 bedrooms (studios excluded unless the listing classifies the unit as 1 bedroom) · base rent ≤ USD 1,000. A high score never overrides a hard requirement.</t>
        </is>
      </c>
    </row>
    <row r="7">
      <c r="A7" s="17" t="inlineStr">
        <is>
          <t>Budget classes</t>
        </is>
      </c>
      <c r="B7" s="5" t="inlineStr">
        <is>
          <t>STRICT_ALL_IN = rent + known maintenance ≤ USD 1,000 · BASE_RENT_COMPLIANT = rent ≤ USD 1,000 but the total is above USD 1,000 or unknown · STRETCH = rent USD 1,001–1,100 (separate sheet) · BORDERLINE = at most 1% above USD 1,100 after currency conversion (NEAR_MISSES sheet; never budget-compliant). STRICT_ALL_IN gets a 5-point ranking preference.</t>
        </is>
      </c>
    </row>
    <row r="8">
      <c r="A8" s="17" t="inlineStr">
        <is>
          <t>Near misses</t>
        </is>
      </c>
      <c r="B8" s="5" t="inlineStr">
        <is>
          <t>Outside Miraflores → NEAR_MISSES only if within 300 m of the boundary, budget-compliant and fit ≥ 70.</t>
        </is>
      </c>
    </row>
    <row r="9">
      <c r="A9" s="17" t="inlineStr">
        <is>
          <t>Run</t>
        </is>
      </c>
      <c r="B9" s="5" t="inlineStr">
        <is>
          <t>Generated 2026-09-24T20:49:33-05:00. Records collected: 40; unique after de-duplication: 27; budget-compliant: 23; stretch: 2; borderline: 1; near misses: 0. Cumulative project cost (Apify run records): USD 2.65 of the USD 5.00 cap.</t>
        </is>
      </c>
    </row>
    <row r="10">
      <c r="A10" s="17" t="inlineStr">
        <is>
          <t>Sources</t>
        </is>
      </c>
      <c r="B10" s="5" t="inlineStr">
        <is>
          <t>Urbania and Adondevivir via Apify (free plan: at most 10 records per run, list-level data only — no detail pages, so no coordinates, phone numbers or publication dates). One run per bedroom count so neither segment crowds out the other. Mercado Libre: polite direct requests only; any bot challenge stops it (never bypassed).</t>
        </is>
      </c>
    </row>
    <row r="11">
      <c r="A11" s="17" t="inlineStr">
        <is>
          <t>Exchange rate</t>
        </is>
      </c>
      <c r="B11" s="5" t="inlineStr">
        <is>
          <t>1 USD = S/ 3.385 · BCRP series PD04640PD (SBS sell rate), period 23.Set.26 — https://estadisticas.bcrp.gob.pe/estadisticas/series/api/PD04640PD/json/2026-09-11/2026-09-25/ing · 2026-09-24T20:49:33-05:00. One rate for every conversion. Budget, ranking, USD/m² and totals use one comparable USD value: the USD price for USD-priced listings, otherwise PEN ÷ this rate (CALCULATED). The portal's own USD figure is kept separately; a gap above 5% is flagged CURRENCY_CONVERSION_MISMATCH.</t>
        </is>
      </c>
    </row>
    <row r="12">
      <c r="A12" s="17" t="inlineStr">
        <is>
          <t>Fit score (100)</t>
        </is>
      </c>
      <c r="B12" s="5" t="inlineStr">
        <is>
          <t>Quietness 25 · Budget/total cost 20 · Space/layout 20 · Location/daily livability 10 · Furnishing 8 · Building/security/amenities 7 · Listing quality/freshness 10.</t>
        </is>
      </c>
    </row>
    <row r="13">
      <c r="A13" s="17" t="inlineStr">
        <is>
          <t>Noise categories</t>
        </is>
      </c>
      <c r="B13" s="5" t="inlineStr">
        <is>
          <t>LIKELY QUIET = low risk with medium/high confidence · POSSIBLY QUIET = positive listing wording only (e.g. interior-facing) · NOISE UNCERTAIN = no or mixed evidence · LIKELY NOISY = on a major arterial (e.g. Av. Paseo de la República / Vía Expresa), faces an avenue, or high risk with a reliable location. Risk LOW/MEDIUM/HIGH/UNKNOWN always comes with a confidence HIGH/MEDIUM/LOW; UNKNOWN = no location and no noise wording. Low-confidence evidence never pushes an otherwise good apartment down the ranking.</t>
        </is>
      </c>
    </row>
    <row r="14">
      <c r="A14" s="17" t="inlineStr">
        <is>
          <t>Noise model</t>
        </is>
      </c>
      <c r="B14" s="5" t="inlineStr">
        <is>
          <t>With a reliable position: baseline 72, penalties for major roads (≤50 m −30), arterials, nightclubs and bar clusters (OpenStreetMap), plus listing text (interior-facing, acoustic windows, avenue view, high floor). Without a position: listing text only, shrunk towards neutral, confidence LOW. It is an estimate — confirm in person.</t>
        </is>
      </c>
    </row>
    <row r="15">
      <c r="A15" s="17" t="inlineStr">
        <is>
          <t>Coordinates</t>
        </is>
      </c>
      <c r="B15" s="5" t="inlineStr">
        <is>
          <t>Geocoded (OpenStreetMap Nominatim) only from specific address text in the listing: street + number → HIGH confidence when the house number matches, otherwise street-level MEDIUM; street + block → MEDIUM. District or zone names alone are never geocoded — those listings keep an UNKNOWN location. Only HIGH / exact positions are drawn on the report map.</t>
        </is>
      </c>
    </row>
    <row r="16">
      <c r="A16" s="17" t="inlineStr">
        <is>
          <t>Foreign-tenant friendliness</t>
        </is>
      </c>
      <c r="B16" s="5" t="inlineStr">
        <is>
          <t>From listing text only: HIGH (foreigners/passport/corporate lease explicitly welcome), MEDIUM (temporary stays, no guarantor, English listing, furnished + utilities), POTENTIAL_FRICTION (asks for a Peruvian guarantor, carné de extranjería or DNI), UNKNOWN (silent — the normal case, never penalised). Where silent, confirm passport acceptance, carné de extranjería, proof of income, guarantor (aval), deposit and minimum term.</t>
        </is>
      </c>
    </row>
    <row r="17">
      <c r="A17" s="17" t="inlineStr">
        <is>
          <t>Availability</t>
        </is>
      </c>
      <c r="B17" s="5" t="inlineStr">
        <is>
          <t>ACTIVE_CONFIRMED = listing re-opened successfully during the final Top-10 re-check · LIKELY_ACTIVE = returned by the live search, automated re-check not possible (portal bot protection) · UNKNOWN = not confirmed. Never stated as guaranteed.</t>
        </is>
      </c>
    </row>
    <row r="18">
      <c r="A18" s="17" t="inlineStr">
        <is>
          <t>De-duplication</t>
        </is>
      </c>
      <c r="B18" s="5" t="inlineStr">
        <is>
          <t>Pairs scored on URL, portal id, coordinates, area, price, bathrooms, maintenance, advertiser, fuzzy title and description, address and shared photo ids. A merge also needs an identity anchor (same URL or posting id, the same photo file, coordinates within a few metres or the same numbered address): matching price, area and maintenance alone never merge two listings. Every source link is kept.</t>
        </is>
      </c>
    </row>
    <row r="19">
      <c r="A19" s="17" t="inlineStr">
        <is>
          <t>Codes used</t>
        </is>
      </c>
      <c r="B19" s="5" t="inlineStr">
        <is>
          <t>Classification codes are kept identical in the English and Hindi files: STRICT_ALL_IN, BASE_RENT_COMPLIANT, STRETCH, BORDERLINE (budget) · ACTIVE_CONFIRMED, LIKELY_ACTIVE, UNKNOWN (availability) · HIGH, MEDIUM, POTENTIAL_FRICTION, UNKNOWN (foreign tenant) · PUBLISHED / CALCULATED (value published by the listing or converted) · red-flag codes such as UNKNOWN_MAINTENANCE (maintenance not published), NO_COORDINATES (no map position), ON_MAJOR_ARTERIAL (address on a major arterial).</t>
        </is>
      </c>
    </row>
    <row r="20">
      <c r="A20" s="17" t="inlineStr">
        <is>
          <t>Unknown values</t>
        </is>
      </c>
      <c r="B20" s="5" t="inlineStr">
        <is>
          <t>Shown as UNKNOWN (Hindi: जानकारी उपलब्ध नहीं). Nothing is imputed; no phone number, WhatsApp or date is ever invented. The listing link is the contact path when no phone is published.</t>
        </is>
      </c>
    </row>
    <row r="21">
      <c r="A21" s="17" t="inlineStr">
        <is>
          <t>Limitations</t>
        </is>
      </c>
      <c r="B21" s="5" t="inlineStr">
        <is>
          <t>Advertiser-reported data; the free Apify plan returns list-level data only; most locations are known only to the zone; OpenStreetMap may miss venues; availability changes daily. Scores rank options — they do not replace a visit.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zoomScale="100" workbookViewId="0">
      <selection pane="bottomLeft" activeCell="A1" sqref="A1"/>
    </sheetView>
  </sheetViews>
  <sheetFormatPr baseColWidth="8" defaultRowHeight="15"/>
  <cols>
    <col width="10" customWidth="1" min="1" max="1"/>
    <col width="34" customWidth="1" min="2" max="2"/>
    <col width="36" customWidth="1" min="3" max="3"/>
    <col width="12" customWidth="1" min="4" max="4"/>
    <col width="30" customWidth="1" min="5" max="5"/>
    <col width="60" customWidth="1" min="6" max="6"/>
  </cols>
  <sheetData>
    <row r="1">
      <c r="A1" s="1" t="inlineStr">
        <is>
          <t>Contact guide — nothing has been sent; contact is left to you</t>
        </is>
      </c>
    </row>
    <row r="2">
      <c r="A2" s="13" t="inlineStr">
        <is>
          <t>Generated 2026-09-24T20:49:33-05:00 · FX 1 USD = S/ 3.385 (BCRP live)</t>
        </is>
      </c>
    </row>
    <row r="5" ht="300" customHeight="1">
      <c r="A5" s="18" t="inlineStr">
        <is>
          <t>Message to send (Spanish)</t>
        </is>
      </c>
      <c r="B5" s="19" t="inlineStr">
        <is>
          <t>Hola, buen día. Vi su anuncio del departamento en Miraflores: [ENLACE DEL ANUNCIO]
Somos una pareja interesada. ¿Podrían confirmarnos, por favor?
1. ¿El departamento sigue disponible?
2. ¿Cuál es el precio final del alquiler mensual?
3. ¿Cuánto es el mantenimiento mensual?
4. ¿Qué servicios están incluidos (agua, luz, gas)?
5. ¿El internet está incluido?
6. ¿Cuál es el plazo mínimo del contrato?
7. ¿Cuántos meses de garantía y de adelanto se requieren?
8. ¿Está completamente amoblado?
9. ¿El dormitorio da a la calle o al interior del edificio? ¿Se escucha ruido de tráfico?
10. ¿Qué requisitos piden a un inquilino extranjero?
11. ¿Aceptan pasaporte como documento de identidad?
12. ¿Qué sustento de ingresos solicitan?
13. ¿Cuándo podríamos visitarlo?
Muchas gracias. Saludos cordiales,
[SU NOMBRE] · [TELÉFONO]</t>
        </is>
      </c>
    </row>
    <row r="6" ht="300" customHeight="1">
      <c r="A6" s="18" t="inlineStr">
        <is>
          <t>What it says (English)</t>
        </is>
      </c>
      <c r="B6" s="19" t="inlineStr">
        <is>
          <t>Hello, good day. I saw your listing for the apartment in Miraflores: [LISTING LINK]
We are a couple and we are interested. Could you please confirm:
1. Is the apartment still available?
2. What is the final monthly rent?
3. How much is the monthly maintenance fee?
4. Which utilities are included (water, electricity, gas)?
5. Is internet included?
6. What is the minimum rental term?
7. How many months of deposit and of advance are required?
8. Is it fully furnished?
9. Does the bedroom face the street or the interior of the building? Can traffic noise be heard?
10. What are the requirements for a foreign tenant?
11. Do you accept a passport as identification?
12. What proof of income do you require?
13. When could we visit?
Thank you very much. Kind regards,
[YOUR NAME] · [PHONE]</t>
        </is>
      </c>
    </row>
    <row r="8">
      <c r="A8" s="1" t="inlineStr">
        <is>
          <t>Top 10 — who to contact and what to ask</t>
        </is>
      </c>
    </row>
    <row r="9">
      <c r="A9" s="13" t="inlineStr"/>
    </row>
    <row r="11" ht="30" customHeight="1">
      <c r="A11" s="3" t="inlineStr">
        <is>
          <t>Rank</t>
        </is>
      </c>
      <c r="B11" s="3" t="inlineStr">
        <is>
          <t>Property</t>
        </is>
      </c>
      <c r="C11" s="3" t="inlineStr">
        <is>
          <t>Who to contact</t>
        </is>
      </c>
      <c r="D11" s="3" t="inlineStr">
        <is>
          <t>View Listing</t>
        </is>
      </c>
      <c r="E11" s="3" t="inlineStr">
        <is>
          <t>WhatsApp</t>
        </is>
      </c>
      <c r="F11" s="3" t="inlineStr">
        <is>
          <t>Ask specifically</t>
        </is>
      </c>
    </row>
    <row r="12">
      <c r="A12" s="4" t="n">
        <v>1</v>
      </c>
      <c r="B12" s="5" t="inlineStr">
        <is>
          <t>1BR · 62 m² — Miraflores · ID 151162497</t>
        </is>
      </c>
      <c r="C12" s="5" t="inlineStr">
        <is>
          <t>Contact via listing (Adondevivir contact form)</t>
        </is>
      </c>
      <c r="D12" s="9" t="inlineStr">
        <is>
          <t>View listing</t>
        </is>
      </c>
      <c r="E12" s="11" t="inlineStr">
        <is>
          <t>—</t>
        </is>
      </c>
      <c r="F12" s="5" t="inlineStr">
        <is>
          <t>minimum lease term; does the bedroom face the street or the interior?; exact address/block</t>
        </is>
      </c>
    </row>
    <row r="13">
      <c r="A13" s="4" t="n">
        <v>2</v>
      </c>
      <c r="B13" s="5" t="inlineStr">
        <is>
          <t>1BR · 42 m² — Miraflores · ID 151122912</t>
        </is>
      </c>
      <c r="C13" s="5" t="inlineStr">
        <is>
          <t>Contact via listing (Adondevivir + Urbania contact form)</t>
        </is>
      </c>
      <c r="D13" s="9" t="inlineStr">
        <is>
          <t>View listing</t>
        </is>
      </c>
      <c r="E13" s="11" t="inlineStr">
        <is>
          <t>—</t>
        </is>
      </c>
      <c r="F13" s="5" t="inlineStr">
        <is>
          <t>does the bedroom face the street or the interior?; exact address/block</t>
        </is>
      </c>
    </row>
    <row r="14">
      <c r="A14" s="4" t="n">
        <v>3</v>
      </c>
      <c r="B14" s="5" t="inlineStr">
        <is>
          <t>1BR · 71 m² — Miraflores · ID 150746422</t>
        </is>
      </c>
      <c r="C14" s="5" t="inlineStr">
        <is>
          <t>Contact via listing (Urbania contact form)</t>
        </is>
      </c>
      <c r="D14" s="9" t="inlineStr">
        <is>
          <t>View listing</t>
        </is>
      </c>
      <c r="E14" s="11" t="inlineStr">
        <is>
          <t>—</t>
        </is>
      </c>
      <c r="F14" s="5" t="inlineStr">
        <is>
          <t>minimum lease term; deposit months; does the bedroom face the street or the interior?; exact address/block</t>
        </is>
      </c>
    </row>
    <row r="15">
      <c r="A15" s="4" t="n">
        <v>4</v>
      </c>
      <c r="B15" s="11" t="inlineStr">
        <is>
          <t>1BR · 40 m² — San Antonio</t>
        </is>
      </c>
      <c r="C15" s="5" t="inlineStr">
        <is>
          <t>Contact via listing (Adondevivir + Urbania contact form)</t>
        </is>
      </c>
      <c r="D15" s="9" t="inlineStr">
        <is>
          <t>View listing</t>
        </is>
      </c>
      <c r="E15" s="11" t="inlineStr">
        <is>
          <t>—</t>
        </is>
      </c>
      <c r="F15" s="5" t="inlineStr">
        <is>
          <t>minimum lease term; deposit months; does the bedroom face the street or the interior?; exact address/block</t>
        </is>
      </c>
    </row>
    <row r="16">
      <c r="A16" s="4" t="n">
        <v>5</v>
      </c>
      <c r="B16" s="5" t="inlineStr">
        <is>
          <t>1BR · 41 m² — Miraflores · ID 151178161</t>
        </is>
      </c>
      <c r="C16" s="5" t="inlineStr">
        <is>
          <t>Contact via listing (Adondevivir + Urbania contact form)</t>
        </is>
      </c>
      <c r="D16" s="9" t="inlineStr">
        <is>
          <t>View listing</t>
        </is>
      </c>
      <c r="E16" s="11" t="inlineStr">
        <is>
          <t>—</t>
        </is>
      </c>
      <c r="F16" s="5" t="inlineStr">
        <is>
          <t>furnished or not; does the bedroom face the street or the interior?; exact address/block</t>
        </is>
      </c>
    </row>
    <row r="17">
      <c r="A17" s="4" t="n">
        <v>6</v>
      </c>
      <c r="B17" s="5" t="inlineStr">
        <is>
          <t>1BR · 71 m² — Miraflores · ID 150877601</t>
        </is>
      </c>
      <c r="C17" s="5" t="inlineStr">
        <is>
          <t>Contact via listing (Adondevivir contact form)</t>
        </is>
      </c>
      <c r="D17" s="9" t="inlineStr">
        <is>
          <t>View listing</t>
        </is>
      </c>
      <c r="E17" s="11" t="inlineStr">
        <is>
          <t>—</t>
        </is>
      </c>
      <c r="F17" s="5" t="inlineStr">
        <is>
          <t>does the bedroom face the street or the interior?; exact address/block</t>
        </is>
      </c>
    </row>
    <row r="18">
      <c r="A18" s="4" t="n">
        <v>7</v>
      </c>
      <c r="B18" s="5" t="inlineStr">
        <is>
          <t>1BR · 45 m² — Miraflores · ID 146109648</t>
        </is>
      </c>
      <c r="C18" s="5" t="inlineStr">
        <is>
          <t>Contact via listing (Adondevivir contact form)</t>
        </is>
      </c>
      <c r="D18" s="9" t="inlineStr">
        <is>
          <t>View listing</t>
        </is>
      </c>
      <c r="E18" s="11" t="inlineStr">
        <is>
          <t>—</t>
        </is>
      </c>
      <c r="F18" s="5" t="inlineStr">
        <is>
          <t>minimum lease term; deposit months; does the bedroom face the street or the interior?; exact address/block</t>
        </is>
      </c>
    </row>
    <row r="19">
      <c r="A19" s="4" t="n">
        <v>8</v>
      </c>
      <c r="B19" s="5" t="inlineStr">
        <is>
          <t>1BR · 43 m² — Miraflores · ID 151124896</t>
        </is>
      </c>
      <c r="C19" s="5" t="inlineStr">
        <is>
          <t>Contact via listing (Urbania contact form)</t>
        </is>
      </c>
      <c r="D19" s="9" t="inlineStr">
        <is>
          <t>View listing</t>
        </is>
      </c>
      <c r="E19" s="11" t="inlineStr">
        <is>
          <t>—</t>
        </is>
      </c>
      <c r="F19" s="5" t="inlineStr">
        <is>
          <t>does the bedroom face the street or the interior?; exact address/block</t>
        </is>
      </c>
    </row>
    <row r="20">
      <c r="A20" s="4" t="n">
        <v>9</v>
      </c>
      <c r="B20" s="5" t="inlineStr">
        <is>
          <t>1BR · 71 m² — Miraflores · ID 150869056</t>
        </is>
      </c>
      <c r="C20" s="5" t="inlineStr">
        <is>
          <t>Contact via listing (Adondevivir + Urbania contact form)</t>
        </is>
      </c>
      <c r="D20" s="9" t="inlineStr">
        <is>
          <t>View listing</t>
        </is>
      </c>
      <c r="E20" s="11" t="inlineStr">
        <is>
          <t>—</t>
        </is>
      </c>
      <c r="F20" s="5" t="inlineStr">
        <is>
          <t>minimum lease term; deposit months; does the bedroom face the street or the interior?; exact address/block</t>
        </is>
      </c>
    </row>
    <row r="21">
      <c r="A21" s="4" t="n">
        <v>10</v>
      </c>
      <c r="B21" s="5" t="inlineStr">
        <is>
          <t>2BR · 96 m² — Miraflores · ID 151159973</t>
        </is>
      </c>
      <c r="C21" s="5" t="inlineStr">
        <is>
          <t>Contact via listing (Adondevivir + Urbania contact form)</t>
        </is>
      </c>
      <c r="D21" s="9" t="inlineStr">
        <is>
          <t>View listing</t>
        </is>
      </c>
      <c r="E21" s="11" t="inlineStr">
        <is>
          <t>—</t>
        </is>
      </c>
      <c r="F21" s="5" t="inlineStr">
        <is>
          <t>minimum lease term; deposit months; does the bedroom face the street or the interior?; exact address/block</t>
        </is>
      </c>
    </row>
  </sheetData>
  <autoFilter ref="A11:F21"/>
  <mergeCells count="2">
    <mergeCell ref="B6:F6"/>
    <mergeCell ref="B5:F5"/>
  </mergeCells>
  <conditionalFormatting sqref="A12:F21">
    <cfRule type="cellIs" priority="1" operator="equal" dxfId="0">
      <formula>"UNKNOWN"</formula>
    </cfRule>
    <cfRule type="expression" priority="2" dxfId="2">
      <formula>MOD(ROW(),2)=0</formula>
    </cfRule>
  </conditionalFormatting>
  <hyperlinks>
    <hyperlink xmlns:r="http://schemas.openxmlformats.org/officeDocument/2006/relationships" ref="D12" r:id="rId1"/>
    <hyperlink xmlns:r="http://schemas.openxmlformats.org/officeDocument/2006/relationships" ref="D13" r:id="rId2"/>
    <hyperlink xmlns:r="http://schemas.openxmlformats.org/officeDocument/2006/relationships" ref="D14" r:id="rId3"/>
    <hyperlink xmlns:r="http://schemas.openxmlformats.org/officeDocument/2006/relationships" ref="D15" r:id="rId4"/>
    <hyperlink xmlns:r="http://schemas.openxmlformats.org/officeDocument/2006/relationships" ref="D16" r:id="rId5"/>
    <hyperlink xmlns:r="http://schemas.openxmlformats.org/officeDocument/2006/relationships" ref="D17" r:id="rId6"/>
    <hyperlink xmlns:r="http://schemas.openxmlformats.org/officeDocument/2006/relationships" ref="D18" r:id="rId7"/>
    <hyperlink xmlns:r="http://schemas.openxmlformats.org/officeDocument/2006/relationships" ref="D19" r:id="rId8"/>
    <hyperlink xmlns:r="http://schemas.openxmlformats.org/officeDocument/2006/relationships" ref="D20" r:id="rId9"/>
    <hyperlink xmlns:r="http://schemas.openxmlformats.org/officeDocument/2006/relationships" ref="D2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2026-09-25T01:49:33Z</dcterms:created>
  <dcterms:modified xsi:type="dcterms:W3CDTF">2026-09-25T01:49:33Z</dcterms:modified>
</cp:coreProperties>
</file>